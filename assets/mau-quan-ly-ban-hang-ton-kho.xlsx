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9e92d26c6e45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 quan" sheetId="1" r:id="R46d69087135646ac"/>
    <x:sheet xmlns:r="http://schemas.openxmlformats.org/officeDocument/2006/relationships" name="Giao dich" sheetId="2" r:id="Rd580acb21c0641e9"/>
    <x:sheet xmlns:r="http://schemas.openxmlformats.org/officeDocument/2006/relationships" name="Ton kho" sheetId="3" r:id="Re2fb07a4be404694"/>
    <x:sheet xmlns:r="http://schemas.openxmlformats.org/officeDocument/2006/relationships" name="San pham" sheetId="4" r:id="R8a94ae54462c45a1"/>
    <x:sheet xmlns:r="http://schemas.openxmlformats.org/officeDocument/2006/relationships" name="Cong no" sheetId="5" r:id="R31a1c47eecbf43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 [$VND]"/>
    <x:numFmt numFmtId="202" formatCode="dd/mm/yyyy"/>
  </x:numFmts>
  <x:fonts count="12">
    <x:font>
      <x:sz val="11"/>
      <x:name val="Carlito"/>
    </x:font>
    <x:font>
      <x:sz val="10"/>
      <x:color rgb="FF1C2733"/>
      <x:name val="Arial"/>
    </x:font>
    <x:font>
      <x:b/>
      <x:sz val="10"/>
      <x:color rgb="FFFFFFFF"/>
      <x:name val="Arial"/>
    </x:font>
    <x:font>
      <x:b/>
      <x:sz val="16"/>
      <x:color rgb="FF17324D"/>
      <x:name val="Arial"/>
    </x:font>
    <x:font>
      <x:i/>
      <x:sz val="10"/>
      <x:color rgb="FF5D6B78"/>
      <x:name val="Arial"/>
    </x:font>
    <x:font>
      <x:b/>
      <x:sz val="14"/>
      <x:color rgb="FF147D73"/>
      <x:name val="Arial"/>
    </x:font>
    <x:font>
      <x:b/>
      <x:sz val="14"/>
      <x:color rgb="FF2E7D52"/>
      <x:name val="Arial"/>
    </x:font>
    <x:font>
      <x:b/>
      <x:sz val="14"/>
      <x:color rgb="FFB86425"/>
      <x:name val="Arial"/>
    </x:font>
    <x:font>
      <x:b/>
      <x:sz val="14"/>
      <x:color rgb="FF17324D"/>
      <x:name val="Arial"/>
    </x:font>
    <x:font>
      <x:b/>
      <x:sz val="11"/>
      <x:color rgb="FF17324D"/>
      <x:name val="Arial"/>
    </x:font>
    <x:font>
      <x:b/>
      <x:sz val="11"/>
      <x:color rgb="FF704800"/>
      <x:name val="Arial"/>
    </x:font>
    <x:font>
      <x:sz val="10"/>
      <x:color rgb="FF5D6B78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73"/>
      </x:patternFill>
    </x:fill>
    <x:fill>
      <x:patternFill patternType="solid">
        <x:fgColor rgb="FFF6F8FA"/>
      </x:patternFill>
    </x:fill>
    <x:fill>
      <x:patternFill patternType="solid">
        <x:fgColor rgb="FF2E7D52"/>
      </x:patternFill>
    </x:fill>
    <x:fill>
      <x:patternFill patternType="solid">
        <x:fgColor rgb="FFB86425"/>
      </x:patternFill>
    </x:fill>
    <x:fill>
      <x:patternFill patternType="solid">
        <x:fgColor rgb="FFD9F1EF"/>
      </x:patternFill>
    </x:fill>
    <x:fill>
      <x:patternFill patternType="solid">
        <x:fgColor rgb="FFFFF1C7"/>
      </x:patternFill>
    </x:fill>
  </x:fills>
  <x:borders count="1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6DEE5"/>
      </x:bottom>
      <x:diagonal/>
    </x:border>
    <x:border>
      <x:left/>
      <x:right/>
      <x:top style="thin">
        <x:color rgb="FFD6DEE5"/>
      </x:top>
      <x:bottom style="thin">
        <x:color rgb="FFD6DEE5"/>
      </x:bottom>
      <x:diagonal/>
    </x:border>
    <x:border>
      <x:left/>
      <x:right/>
      <x:top style="thin">
        <x:color rgb="FFD6DEE5"/>
      </x:top>
      <x:bottom/>
      <x:diagonal/>
    </x:border>
    <x:border>
      <x:left/>
      <x:right/>
      <x:top/>
      <x:bottom style="medium">
        <x:color rgb="FF147D73"/>
      </x:bottom>
      <x:diagonal/>
    </x:border>
    <x:border>
      <x:left style="thin">
        <x:color rgb="FFD6DEE5"/>
      </x:left>
      <x:right/>
      <x:top style="thin">
        <x:color rgb="FFD6DEE5"/>
      </x:top>
      <x:bottom/>
      <x:diagonal/>
    </x:border>
    <x:border>
      <x:left/>
      <x:right style="thin">
        <x:color rgb="FFD6DEE5"/>
      </x:right>
      <x:top style="thin">
        <x:color rgb="FFD6DEE5"/>
      </x:top>
      <x:bottom/>
      <x:diagonal/>
    </x:border>
    <x:border>
      <x:left style="thin">
        <x:color rgb="FFD6DEE5"/>
      </x:left>
      <x:right/>
      <x:top/>
      <x:bottom style="thin">
        <x:color rgb="FFD6DEE5"/>
      </x:bottom>
      <x:diagonal/>
    </x:border>
    <x:border>
      <x:left/>
      <x:right style="thin">
        <x:color rgb="FFD6DEE5"/>
      </x:right>
      <x:top/>
      <x:bottom style="thin">
        <x:color rgb="FFD6DEE5"/>
      </x:bottom>
      <x:diagonal/>
    </x:border>
    <x:border>
      <x:left style="thin">
        <x:color rgb="FFD6DEE5"/>
      </x:left>
      <x:right/>
      <x:top/>
      <x:bottom/>
      <x:diagonal/>
    </x:border>
    <x:border>
      <x:left/>
      <x:right style="thin">
        <x:color rgb="FFD6DEE5"/>
      </x:right>
      <x:top/>
      <x:bottom/>
      <x:diagonal/>
    </x:border>
  </x:borders>
  <x:cellStyleXfs count="1">
    <x:xf numFmtId="0" fontId="0" fillId="0" borderId="0"/>
  </x:cellStyleXfs>
  <x:cellXfs count="10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2" fontId="1" fillId="0" borderId="4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8" xfId="0" applyNumberFormat="1" applyFont="1" applyFill="1" applyBorder="1" applyAlignment="1">
      <x:alignment vertical="center"/>
    </x:xf>
    <x:xf numFmtId="0" fontId="5" fillId="4" borderId="9" xfId="0" applyNumberFormat="1" applyFont="1" applyFill="1" applyBorder="1" applyAlignment="1">
      <x:alignment vertical="center"/>
    </x:xf>
    <x:xf numFmtId="0" fontId="5" fillId="4" borderId="10" xfId="0" applyNumberFormat="1" applyFont="1" applyFill="1" applyBorder="1" applyAlignment="1">
      <x:alignment vertical="center"/>
    </x:xf>
    <x:xf numFmtId="0" fontId="5" fillId="4" borderId="11" xfId="0" applyNumberFormat="1" applyFont="1" applyFill="1" applyBorder="1" applyAlignment="1">
      <x:alignment vertical="center"/>
    </x:xf>
    <x:xf numFmtId="201" fontId="5" fillId="4" borderId="8" xfId="0" applyNumberFormat="1" applyFont="1" applyFill="1" applyBorder="1" applyAlignment="1">
      <x:alignment vertical="center"/>
    </x:xf>
    <x:xf numFmtId="201" fontId="5" fillId="4" borderId="9" xfId="0" applyNumberFormat="1" applyFont="1" applyFill="1" applyBorder="1" applyAlignment="1">
      <x:alignment vertical="center"/>
    </x:xf>
    <x:xf numFmtId="201" fontId="5" fillId="4" borderId="10" xfId="0" applyNumberFormat="1" applyFont="1" applyFill="1" applyBorder="1" applyAlignment="1">
      <x:alignment vertical="center"/>
    </x:xf>
    <x:xf numFmtId="201" fontId="5" fillId="4" borderId="11" xfId="0" applyNumberFormat="1" applyFont="1" applyFill="1" applyBorder="1" applyAlignment="1">
      <x:alignment vertical="center"/>
    </x:xf>
    <x:xf numFmtId="201" fontId="5" fillId="4" borderId="8" xfId="0" applyNumberFormat="1" applyFont="1" applyFill="1" applyBorder="1" applyAlignment="1">
      <x:alignment horizontal="center" vertical="center"/>
    </x:xf>
    <x:xf numFmtId="201" fontId="5" fillId="4" borderId="9" xfId="0" applyNumberFormat="1" applyFont="1" applyFill="1" applyBorder="1" applyAlignment="1">
      <x:alignment horizontal="center" vertical="center"/>
    </x:xf>
    <x:xf numFmtId="201" fontId="5" fillId="4" borderId="10" xfId="0" applyNumberFormat="1" applyFont="1" applyFill="1" applyBorder="1" applyAlignment="1">
      <x:alignment horizontal="center" vertical="center"/>
    </x:xf>
    <x:xf numFmtId="201" fontId="5" fillId="4" borderId="1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8" xfId="0" applyNumberFormat="1" applyFont="1" applyFill="1" applyBorder="1" applyAlignment="1">
      <x:alignment vertical="center"/>
    </x:xf>
    <x:xf numFmtId="0" fontId="6" fillId="4" borderId="9" xfId="0" applyNumberFormat="1" applyFont="1" applyFill="1" applyBorder="1" applyAlignment="1">
      <x:alignment vertical="center"/>
    </x:xf>
    <x:xf numFmtId="0" fontId="6" fillId="4" borderId="10" xfId="0" applyNumberFormat="1" applyFont="1" applyFill="1" applyBorder="1" applyAlignment="1">
      <x:alignment vertical="center"/>
    </x:xf>
    <x:xf numFmtId="0" fontId="6" fillId="4" borderId="11" xfId="0" applyNumberFormat="1" applyFont="1" applyFill="1" applyBorder="1" applyAlignment="1">
      <x:alignment vertical="center"/>
    </x:xf>
    <x:xf numFmtId="201" fontId="6" fillId="4" borderId="8" xfId="0" applyNumberFormat="1" applyFont="1" applyFill="1" applyBorder="1" applyAlignment="1">
      <x:alignment vertical="center"/>
    </x:xf>
    <x:xf numFmtId="201" fontId="6" fillId="4" borderId="9" xfId="0" applyNumberFormat="1" applyFont="1" applyFill="1" applyBorder="1" applyAlignment="1">
      <x:alignment vertical="center"/>
    </x:xf>
    <x:xf numFmtId="201" fontId="6" fillId="4" borderId="10" xfId="0" applyNumberFormat="1" applyFont="1" applyFill="1" applyBorder="1" applyAlignment="1">
      <x:alignment vertical="center"/>
    </x:xf>
    <x:xf numFmtId="201" fontId="6" fillId="4" borderId="11" xfId="0" applyNumberFormat="1" applyFont="1" applyFill="1" applyBorder="1" applyAlignment="1">
      <x:alignment vertical="center"/>
    </x:xf>
    <x:xf numFmtId="201" fontId="6" fillId="4" borderId="8" xfId="0" applyNumberFormat="1" applyFont="1" applyFill="1" applyBorder="1" applyAlignment="1">
      <x:alignment horizontal="center" vertical="center"/>
    </x:xf>
    <x:xf numFmtId="201" fontId="6" fillId="4" borderId="9" xfId="0" applyNumberFormat="1" applyFont="1" applyFill="1" applyBorder="1" applyAlignment="1">
      <x:alignment horizontal="center" vertical="center"/>
    </x:xf>
    <x:xf numFmtId="201" fontId="6" fillId="4" borderId="10" xfId="0" applyNumberFormat="1" applyFont="1" applyFill="1" applyBorder="1" applyAlignment="1">
      <x:alignment horizontal="center" vertical="center"/>
    </x:xf>
    <x:xf numFmtId="201" fontId="6" fillId="4" borderId="11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8" xfId="0" applyNumberFormat="1" applyFont="1" applyFill="1" applyBorder="1" applyAlignment="1">
      <x:alignment vertical="center"/>
    </x:xf>
    <x:xf numFmtId="0" fontId="7" fillId="4" borderId="9" xfId="0" applyNumberFormat="1" applyFont="1" applyFill="1" applyBorder="1" applyAlignment="1">
      <x:alignment vertical="center"/>
    </x:xf>
    <x:xf numFmtId="0" fontId="7" fillId="4" borderId="10" xfId="0" applyNumberFormat="1" applyFont="1" applyFill="1" applyBorder="1" applyAlignment="1">
      <x:alignment vertical="center"/>
    </x:xf>
    <x:xf numFmtId="0" fontId="7" fillId="4" borderId="11" xfId="0" applyNumberFormat="1" applyFont="1" applyFill="1" applyBorder="1" applyAlignment="1">
      <x:alignment vertical="center"/>
    </x:xf>
    <x:xf numFmtId="201" fontId="7" fillId="4" borderId="8" xfId="0" applyNumberFormat="1" applyFont="1" applyFill="1" applyBorder="1" applyAlignment="1">
      <x:alignment vertical="center"/>
    </x:xf>
    <x:xf numFmtId="201" fontId="7" fillId="4" borderId="9" xfId="0" applyNumberFormat="1" applyFont="1" applyFill="1" applyBorder="1" applyAlignment="1">
      <x:alignment vertical="center"/>
    </x:xf>
    <x:xf numFmtId="201" fontId="7" fillId="4" borderId="10" xfId="0" applyNumberFormat="1" applyFont="1" applyFill="1" applyBorder="1" applyAlignment="1">
      <x:alignment vertical="center"/>
    </x:xf>
    <x:xf numFmtId="201" fontId="7" fillId="4" borderId="11" xfId="0" applyNumberFormat="1" applyFont="1" applyFill="1" applyBorder="1" applyAlignment="1">
      <x:alignment vertical="center"/>
    </x:xf>
    <x:xf numFmtId="201" fontId="7" fillId="4" borderId="8" xfId="0" applyNumberFormat="1" applyFont="1" applyFill="1" applyBorder="1" applyAlignment="1">
      <x:alignment horizontal="center" vertical="center"/>
    </x:xf>
    <x:xf numFmtId="201" fontId="7" fillId="4" borderId="9" xfId="0" applyNumberFormat="1" applyFont="1" applyFill="1" applyBorder="1" applyAlignment="1">
      <x:alignment horizontal="center" vertical="center"/>
    </x:xf>
    <x:xf numFmtId="201" fontId="7" fillId="4" borderId="10" xfId="0" applyNumberFormat="1" applyFont="1" applyFill="1" applyBorder="1" applyAlignment="1">
      <x:alignment horizontal="center" vertical="center"/>
    </x:xf>
    <x:xf numFmtId="201" fontId="7" fillId="4" borderId="1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 applyAlignment="1">
      <x:alignment vertical="center"/>
    </x:xf>
    <x:xf numFmtId="0" fontId="8" fillId="4" borderId="8" xfId="0" applyNumberFormat="1" applyFont="1" applyFill="1" applyBorder="1" applyAlignment="1">
      <x:alignment vertical="center"/>
    </x:xf>
    <x:xf numFmtId="0" fontId="8" fillId="4" borderId="9" xfId="0" applyNumberFormat="1" applyFont="1" applyFill="1" applyBorder="1" applyAlignment="1">
      <x:alignment vertical="center"/>
    </x:xf>
    <x:xf numFmtId="0" fontId="8" fillId="4" borderId="10" xfId="0" applyNumberFormat="1" applyFont="1" applyFill="1" applyBorder="1" applyAlignment="1">
      <x:alignment vertical="center"/>
    </x:xf>
    <x:xf numFmtId="0" fontId="8" fillId="4" borderId="11" xfId="0" applyNumberFormat="1" applyFont="1" applyFill="1" applyBorder="1" applyAlignment="1">
      <x:alignment vertical="center"/>
    </x:xf>
    <x:xf numFmtId="201" fontId="8" fillId="4" borderId="8" xfId="0" applyNumberFormat="1" applyFont="1" applyFill="1" applyBorder="1" applyAlignment="1">
      <x:alignment vertical="center"/>
    </x:xf>
    <x:xf numFmtId="201" fontId="8" fillId="4" borderId="9" xfId="0" applyNumberFormat="1" applyFont="1" applyFill="1" applyBorder="1" applyAlignment="1">
      <x:alignment vertical="center"/>
    </x:xf>
    <x:xf numFmtId="201" fontId="8" fillId="4" borderId="10" xfId="0" applyNumberFormat="1" applyFont="1" applyFill="1" applyBorder="1" applyAlignment="1">
      <x:alignment vertical="center"/>
    </x:xf>
    <x:xf numFmtId="201" fontId="8" fillId="4" borderId="11" xfId="0" applyNumberFormat="1" applyFont="1" applyFill="1" applyBorder="1" applyAlignment="1">
      <x:alignment vertical="center"/>
    </x:xf>
    <x:xf numFmtId="201" fontId="8" fillId="4" borderId="8" xfId="0" applyNumberFormat="1" applyFont="1" applyFill="1" applyBorder="1" applyAlignment="1">
      <x:alignment horizontal="center" vertical="center"/>
    </x:xf>
    <x:xf numFmtId="201" fontId="8" fillId="4" borderId="9" xfId="0" applyNumberFormat="1" applyFont="1" applyFill="1" applyBorder="1" applyAlignment="1">
      <x:alignment horizontal="center" vertical="center"/>
    </x:xf>
    <x:xf numFmtId="201" fontId="8" fillId="4" borderId="10" xfId="0" applyNumberFormat="1" applyFont="1" applyFill="1" applyBorder="1" applyAlignment="1">
      <x:alignment horizontal="center" vertical="center"/>
    </x:xf>
    <x:xf numFmtId="201" fontId="8" fillId="4" borderId="11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vertical="center"/>
    </x:xf>
    <x:xf numFmtId="0" fontId="11" fillId="4" borderId="8" xfId="0" applyNumberFormat="1" applyFont="1" applyFill="1" applyBorder="1" applyAlignment="1">
      <x:alignment vertical="center"/>
    </x:xf>
    <x:xf numFmtId="0" fontId="11" fillId="4" borderId="6" xfId="0" applyNumberFormat="1" applyFont="1" applyFill="1" applyBorder="1" applyAlignment="1">
      <x:alignment vertical="center"/>
    </x:xf>
    <x:xf numFmtId="0" fontId="11" fillId="4" borderId="9" xfId="0" applyNumberFormat="1" applyFont="1" applyFill="1" applyBorder="1" applyAlignment="1">
      <x:alignment vertical="center"/>
    </x:xf>
    <x:xf numFmtId="0" fontId="11" fillId="4" borderId="12" xfId="0" applyNumberFormat="1" applyFont="1" applyFill="1" applyBorder="1" applyAlignment="1">
      <x:alignment vertical="center"/>
    </x:xf>
    <x:xf numFmtId="0" fontId="11" fillId="4" borderId="13" xfId="0" applyNumberFormat="1" applyFont="1" applyFill="1" applyBorder="1" applyAlignment="1">
      <x:alignment vertical="center"/>
    </x:xf>
    <x:xf numFmtId="0" fontId="11" fillId="4" borderId="10" xfId="0" applyNumberFormat="1" applyFont="1" applyFill="1" applyBorder="1" applyAlignment="1">
      <x:alignment vertical="center"/>
    </x:xf>
    <x:xf numFmtId="0" fontId="11" fillId="4" borderId="4" xfId="0" applyNumberFormat="1" applyFont="1" applyFill="1" applyBorder="1" applyAlignment="1">
      <x:alignment vertical="center"/>
    </x:xf>
    <x:xf numFmtId="0" fontId="11" fillId="4" borderId="11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7A4B00"/>
      </x:font>
      <x:fill>
        <x:patternFill patternType="solid">
          <x:bgColor rgb="FFFFF1C7"/>
        </x:patternFill>
      </x:fill>
    </x:dxf>
    <x:dxf>
      <x:font>
        <x:color rgb="FF1B6847"/>
      </x:font>
      <x:fill>
        <x:patternFill patternType="solid">
          <x:bgColor rgb="FFE1F2E8"/>
        </x:patternFill>
      </x:fill>
    </x:dxf>
    <x:dxf>
      <x:font>
        <x:b/>
        <x:color rgb="FF9A2C2C"/>
      </x:font>
      <x:fill>
        <x:patternFill patternType="solid">
          <x:bgColor rgb="FFFDE2E2"/>
        </x:patternFill>
      </x:fill>
    </x:dxf>
    <x:dxf>
      <x:font>
        <x:color rgb="FF1B6847"/>
      </x:font>
      <x:fill>
        <x:patternFill patternType="solid">
          <x:bgColor rgb="FFE1F2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80a11f60ff4a62" /><Relationship Type="http://schemas.openxmlformats.org/officeDocument/2006/relationships/theme" Target="/xl/theme/theme1.xml" Id="R5387ffe8288f465d" /><Relationship Type="http://schemas.openxmlformats.org/officeDocument/2006/relationships/sharedStrings" Target="/xl/sharedStrings.xml" Id="Rb685925f952f443d" /><Relationship Type="http://schemas.openxmlformats.org/officeDocument/2006/relationships/worksheet" Target="/xl/worksheets/sheet1.xml" Id="R46d69087135646ac" /><Relationship Type="http://schemas.openxmlformats.org/officeDocument/2006/relationships/worksheet" Target="/xl/worksheets/sheet2.xml" Id="Rd580acb21c0641e9" /><Relationship Type="http://schemas.openxmlformats.org/officeDocument/2006/relationships/worksheet" Target="/xl/worksheets/sheet3.xml" Id="Re2fb07a4be404694" /><Relationship Type="http://schemas.openxmlformats.org/officeDocument/2006/relationships/worksheet" Target="/xl/worksheets/sheet4.xml" Id="R8a94ae54462c45a1" /><Relationship Type="http://schemas.openxmlformats.org/officeDocument/2006/relationships/worksheet" Target="/xl/worksheets/sheet5.xml" Id="R31a1c47eecbf43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0ba76f856d64b5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Doanh thu theo san pham (VND)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Doanh thu</c:v>
          </c:tx>
          <c:spPr>
            <a:solidFill xmlns:a="http://schemas.openxmlformats.org/drawingml/2006/main">
              <a:srgbClr val="147D73"/>
            </a:solidFill>
          </c:spPr>
          <c:invertIfNegative val="0"/>
          <c:cat>
            <c:strRef>
              <c:f>'Tong quan'!$A$12:$A$16</c:f>
              <c:strCache>
                <c:ptCount val="0"/>
              </c:strCache>
            </c:strRef>
          </c:cat>
          <c:val>
            <c:numRef>
              <c:f>'Tong quan'!$B$12:$B$16</c:f>
              <c:numCache>
                <c:formatCode>#,##0 [$VND]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9</xdr:row>
      <xdr:rowOff>0</xdr:rowOff>
    </xdr:from>
    <xdr:to>
      <xdr:col>11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ba76f856d64b5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172d3e398474ec2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18" hidden="0" customWidth="1"/>
    <x:col min="5" max="5" width="14" hidden="0" customWidth="1"/>
    <x:col min="6" max="6" width="3" hidden="0" customWidth="1"/>
    <x:col min="7" max="7" width="14" hidden="0" customWidth="1"/>
    <x:col min="8" max="8" width="14" hidden="0" customWidth="1"/>
    <x:col min="9" max="9" width="3" hidden="0" customWidth="1"/>
    <x:col min="10" max="10" width="14" hidden="0" customWidth="1"/>
    <x:col min="11" max="11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2" customHeight="1">
      <x:c r="A2" s="29" t="str">
        <x:v>Dashboard ban hang, ton kho va cong no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"/>
      <x:c r="M2" s="2"/>
    </x:row>
    <x:row r="3" ht="22" customHeight="1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2"/>
      <x:c r="M3" s="2"/>
    </x:row>
    <x:row r="4" ht="22" customHeight="1">
      <x:c r="A4" s="31" t="str">
        <x:v>Du lieu mau thang 10/2026. Them giao dich moi tai tab Giao dich; cac bao cao se tu cap nhat.</x:v>
      </x:c>
      <x:c r="B4" s="31"/>
      <x:c r="C4" s="31"/>
      <x:c r="D4" s="31"/>
      <x:c r="E4" s="31"/>
      <x:c r="F4" s="31"/>
      <x:c r="G4" s="31"/>
      <x:c r="H4" s="31"/>
      <x:c r="I4" s="31"/>
      <x:c r="J4" s="31"/>
      <x:c r="K4" s="31"/>
      <x:c r="L4" s="2"/>
      <x:c r="M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26" customHeight="1">
      <x:c r="A6" s="34" t="str">
        <x:v>Doanh thu</x:v>
      </x:c>
      <x:c r="B6" s="34"/>
      <x:c r="C6" s="2"/>
      <x:c r="D6" s="51" t="str">
        <x:v>Da thu</x:v>
      </x:c>
      <x:c r="E6" s="51"/>
      <x:c r="F6" s="2"/>
      <x:c r="G6" s="67" t="str">
        <x:v>Cong no</x:v>
      </x:c>
      <x:c r="H6" s="67"/>
      <x:c r="I6" s="2"/>
      <x:c r="J6" s="81" t="str">
        <x:v>Gia tri ton</x:v>
      </x:c>
      <x:c r="K6" s="81"/>
      <x:c r="L6" s="2"/>
      <x:c r="M6" s="2"/>
    </x:row>
    <x:row r="7" ht="26" customHeight="1">
      <x:c r="A7" s="45" t="n">
        <x:f>SUMIFS('Giao dich'!$I$2:$I$101,'Giao dich'!$C$2:$C$101,"Ban")</x:f>
        <x:v>7900000</x:v>
      </x:c>
      <x:c r="B7" s="46"/>
      <x:c r="C7" s="2"/>
      <x:c r="D7" s="61" t="n">
        <x:f>SUMIFS('Giao dich'!$H$2:$H$101,'Giao dich'!$C$2:$C$101,"Ban")</x:f>
        <x:v>6440000</x:v>
      </x:c>
      <x:c r="E7" s="62"/>
      <x:c r="F7" s="2"/>
      <x:c r="G7" s="77" t="n">
        <x:f>SUM('Cong no'!$D$2:$D$51)</x:f>
        <x:v>1460000</x:v>
      </x:c>
      <x:c r="H7" s="78"/>
      <x:c r="I7" s="2"/>
      <x:c r="J7" s="91" t="n">
        <x:f>SUM('Ton kho'!$H$2:$H$51)</x:f>
        <x:v>9414000</x:v>
      </x:c>
      <x:c r="K7" s="92"/>
      <x:c r="L7" s="2"/>
      <x:c r="M7" s="2"/>
    </x:row>
    <x:row r="8" ht="26" customHeight="1">
      <x:c r="A8" s="47"/>
      <x:c r="B8" s="48"/>
      <x:c r="C8" s="2"/>
      <x:c r="D8" s="63"/>
      <x:c r="E8" s="64"/>
      <x:c r="F8" s="2"/>
      <x:c r="G8" s="79"/>
      <x:c r="H8" s="80"/>
      <x:c r="I8" s="2"/>
      <x:c r="J8" s="93"/>
      <x:c r="K8" s="94"/>
      <x:c r="L8" s="2"/>
      <x:c r="M8" s="2"/>
    </x:row>
    <x:row r="9" ht="22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 ht="22" customHeight="1">
      <x:c r="A10" s="96" t="str">
        <x:v>Hieu qua theo san pham</x:v>
      </x:c>
      <x:c r="B10" s="96"/>
      <x:c r="C10" s="96"/>
      <x:c r="D10" s="96"/>
      <x:c r="E10" s="2"/>
      <x:c r="F10" s="2"/>
      <x:c r="G10" s="2"/>
      <x:c r="H10" s="2"/>
      <x:c r="I10" s="2"/>
      <x:c r="J10" s="2"/>
      <x:c r="K10" s="2"/>
      <x:c r="L10" s="2"/>
      <x:c r="M10" s="2"/>
    </x:row>
    <x:row r="11" ht="22" customHeight="1">
      <x:c r="A11" s="8" t="str">
        <x:v>San pham</x:v>
      </x:c>
      <x:c r="B11" s="9" t="str">
        <x:v>Doanh thu</x:v>
      </x:c>
      <x:c r="C11" s="9" t="str">
        <x:v>So luong ban</x:v>
      </x:c>
      <x:c r="D11" s="10" t="str">
        <x:v>Ton hien tai</x:v>
      </x:c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22" customHeight="1">
      <x:c r="A12" s="11" t="str">
        <x:v>Ca phe hat Arabica</x:v>
      </x:c>
      <x:c r="B12" s="17" t="n">
        <x:f>SUMIFS('Giao dich'!$I$2:$I$101,'Giao dich'!$D$2:$D$101,'Ton kho'!A2,'Giao dich'!$C$2:$C$101,"Ban")</x:f>
        <x:v>5560000</x:v>
      </x:c>
      <x:c r="C12" s="14" t="n">
        <x:f>SUMIFS('Giao dich'!$E$2:$E$101,'Giao dich'!$D$2:$D$101,'Ton kho'!A2,'Giao dich'!$C$2:$C$101,"Ban")</x:f>
        <x:v>30</x:v>
      </x:c>
      <x:c r="D12" s="14" t="n">
        <x:f>'Ton kho'!F2</x:f>
        <x:v>45</x:v>
      </x:c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22" customHeight="1">
      <x:c r="A13" s="12" t="str">
        <x:v>Tra dao</x:v>
      </x:c>
      <x:c r="B13" s="18" t="n">
        <x:f>SUMIFS('Giao dich'!$I$2:$I$101,'Giao dich'!$D$2:$D$101,'Ton kho'!A3,'Giao dich'!$C$2:$C$101,"Ban")</x:f>
        <x:v>2140000</x:v>
      </x:c>
      <x:c r="C13" s="15" t="n">
        <x:f>SUMIFS('Giao dich'!$E$2:$E$101,'Giao dich'!$D$2:$D$101,'Ton kho'!A3,'Giao dich'!$C$2:$C$101,"Ban")</x:f>
        <x:v>22</x:v>
      </x:c>
      <x:c r="D13" s="15" t="n">
        <x:f>'Ton kho'!F3</x:f>
        <x:v>38</x:v>
      </x:c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22" customHeight="1">
      <x:c r="A14" s="12" t="str">
        <x:v>Ly giay 500 ml</x:v>
      </x:c>
      <x:c r="B14" s="18" t="n">
        <x:f>SUMIFS('Giao dich'!$I$2:$I$101,'Giao dich'!$D$2:$D$101,'Ton kho'!A4,'Giao dich'!$C$2:$C$101,"Ban")</x:f>
        <x:v>200000</x:v>
      </x:c>
      <x:c r="C14" s="15" t="n">
        <x:f>SUMIFS('Giao dich'!$E$2:$E$101,'Giao dich'!$D$2:$D$101,'Ton kho'!A4,'Giao dich'!$C$2:$C$101,"Ban")</x:f>
        <x:v>80</x:v>
      </x:c>
      <x:c r="D14" s="15" t="n">
        <x:f>'Ton kho'!F4</x:f>
        <x:v>220</x:v>
      </x:c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22" customHeight="1">
      <x:c r="A15" s="12" t="str">
        <x:v>Siro dao</x:v>
      </x:c>
      <x:c r="B15" s="18" t="n">
        <x:f>SUMIFS('Giao dich'!$I$2:$I$101,'Giao dich'!$D$2:$D$101,'Ton kho'!A5,'Giao dich'!$C$2:$C$101,"Ban")</x:f>
        <x:v>0</x:v>
      </x:c>
      <x:c r="C15" s="15" t="n">
        <x:f>SUMIFS('Giao dich'!$E$2:$E$101,'Giao dich'!$D$2:$D$101,'Ton kho'!A5,'Giao dich'!$C$2:$C$101,"Ban")</x:f>
        <x:v>0</x:v>
      </x:c>
      <x:c r="D15" s="15" t="n">
        <x:f>'Ton kho'!F5</x:f>
        <x:v>12</x:v>
      </x:c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22" customHeight="1">
      <x:c r="A16" s="13" t="str">
        <x:v>Sua tuoi 1 l</x:v>
      </x:c>
      <x:c r="B16" s="19" t="n">
        <x:f>SUMIFS('Giao dich'!$I$2:$I$101,'Giao dich'!$D$2:$D$101,'Ton kho'!A6,'Giao dich'!$C$2:$C$101,"Ban")</x:f>
        <x:v>0</x:v>
      </x:c>
      <x:c r="C16" s="16" t="n">
        <x:f>SUMIFS('Giao dich'!$E$2:$E$101,'Giao dich'!$D$2:$D$101,'Ton kho'!A6,'Giao dich'!$C$2:$C$101,"Ban")</x:f>
        <x:v>0</x:v>
      </x:c>
      <x:c r="D16" s="16" t="n">
        <x:f>'Ton kho'!F6</x:f>
        <x:v>20</x:v>
      </x:c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2" customHeight="1">
      <x:c r="A20" s="98" t="str">
        <x:v>Cong no theo khach hang</x:v>
      </x:c>
      <x:c r="B20" s="98"/>
      <x:c r="C20" s="98"/>
      <x:c r="D20" s="98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2" customHeight="1">
      <x:c r="A21" s="8" t="str">
        <x:v>Khach hang</x:v>
      </x:c>
      <x:c r="B21" s="9" t="str">
        <x:v>Doanh so</x:v>
      </x:c>
      <x:c r="C21" s="9" t="str">
        <x:v>Da thu</x:v>
      </x:c>
      <x:c r="D21" s="10" t="str">
        <x:v>Con no</x:v>
      </x:c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2" customHeight="1">
      <x:c r="A22" s="11" t="str">
        <x:v>Quan A</x:v>
      </x:c>
      <x:c r="B22" s="17" t="n">
        <x:f>'Cong no'!B2</x:f>
        <x:v>4280000</x:v>
      </x:c>
      <x:c r="C22" s="17" t="n">
        <x:f>'Cong no'!C2</x:f>
        <x:v>3300000</x:v>
      </x:c>
      <x:c r="D22" s="17" t="n">
        <x:f>'Cong no'!D2</x:f>
        <x:v>980000</x:v>
      </x:c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2" customHeight="1">
      <x:c r="A23" s="12" t="str">
        <x:v>Quan B</x:v>
      </x:c>
      <x:c r="B23" s="18" t="n">
        <x:f>'Cong no'!B3</x:f>
        <x:v>2140000</x:v>
      </x:c>
      <x:c r="C23" s="18" t="n">
        <x:f>'Cong no'!C3</x:f>
        <x:v>2140000</x:v>
      </x:c>
      <x:c r="D23" s="18" t="n">
        <x:f>'Cong no'!D3</x:f>
        <x:v>0</x:v>
      </x:c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2" customHeight="1">
      <x:c r="A24" s="12" t="str">
        <x:v>Quan C</x:v>
      </x:c>
      <x:c r="B24" s="18" t="n">
        <x:f>'Cong no'!B4</x:f>
        <x:v>1480000</x:v>
      </x:c>
      <x:c r="C24" s="18" t="n">
        <x:f>'Cong no'!C4</x:f>
        <x:v>1000000</x:v>
      </x:c>
      <x:c r="D24" s="18" t="n">
        <x:f>'Cong no'!D4</x:f>
        <x:v>480000</x:v>
      </x:c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2" customHeight="1">
      <x:c r="A25" s="13" t="str">
        <x:v>Khach le</x:v>
      </x:c>
      <x:c r="B25" s="19" t="n">
        <x:f>'Cong no'!B5</x:f>
        <x:v>0</x:v>
      </x:c>
      <x:c r="C25" s="19" t="n">
        <x:f>'Cong no'!C5</x:f>
        <x:v>0</x:v>
      </x:c>
      <x:c r="D25" s="19" t="n">
        <x:f>'Cong no'!D5</x:f>
        <x:v>0</x:v>
      </x:c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2" customHeight="1">
      <x:c r="A28" s="4" t="str">
        <x:v>Cach dung</x:v>
      </x:c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2"/>
      <x:c r="M28" s="2"/>
    </x:row>
    <x:row r="29" ht="22" customHeight="1">
      <x:c r="A29" s="100" t="str">
        <x:v>1. Them hoac sua danh muc tai tab San pham.</x:v>
      </x:c>
      <x:c r="B29" s="101"/>
      <x:c r="C29" s="101"/>
      <x:c r="D29" s="101"/>
      <x:c r="E29" s="101"/>
      <x:c r="F29" s="101"/>
      <x:c r="G29" s="101"/>
      <x:c r="H29" s="101"/>
      <x:c r="I29" s="101"/>
      <x:c r="J29" s="101"/>
      <x:c r="K29" s="102"/>
      <x:c r="L29" s="2"/>
      <x:c r="M29" s="2"/>
    </x:row>
    <x:row r="30" ht="22" customHeight="1">
      <x:c r="A30" s="103" t="str">
        <x:v>2. Nhap giao dich moi tai tab Giao dich; chi sua cac cot A-H va M.</x:v>
      </x:c>
      <x:c r="B30" s="99"/>
      <x:c r="C30" s="99"/>
      <x:c r="D30" s="99"/>
      <x:c r="E30" s="99"/>
      <x:c r="F30" s="99"/>
      <x:c r="G30" s="99"/>
      <x:c r="H30" s="99"/>
      <x:c r="I30" s="99"/>
      <x:c r="J30" s="99"/>
      <x:c r="K30" s="104"/>
      <x:c r="L30" s="2"/>
      <x:c r="M30" s="2"/>
    </x:row>
    <x:row r="31" ht="22" customHeight="1">
      <x:c r="A31" s="105" t="str">
        <x:v>3. Xem canh bao ton kho va cong no; dashboard tu tong hop bang cong thuc.</x:v>
      </x:c>
      <x:c r="B31" s="106"/>
      <x:c r="C31" s="106"/>
      <x:c r="D31" s="106"/>
      <x:c r="E31" s="106"/>
      <x:c r="F31" s="106"/>
      <x:c r="G31" s="106"/>
      <x:c r="H31" s="106"/>
      <x:c r="I31" s="106"/>
      <x:c r="J31" s="106"/>
      <x:c r="K31" s="107"/>
      <x:c r="L31" s="2"/>
      <x:c r="M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</x:row>
  </x:sheetData>
  <x:mergeCells>
    <x:mergeCell ref="A2:K2"/>
    <x:mergeCell ref="A4:K4"/>
    <x:mergeCell ref="A6:B6"/>
    <x:mergeCell ref="A7:B8"/>
    <x:mergeCell ref="D6:E6"/>
    <x:mergeCell ref="D7:E8"/>
    <x:mergeCell ref="G6:H6"/>
    <x:mergeCell ref="G7:H8"/>
    <x:mergeCell ref="J6:K6"/>
    <x:mergeCell ref="J7:K8"/>
    <x:mergeCell ref="A10:D10"/>
    <x:mergeCell ref="A20:D20"/>
    <x:mergeCell ref="A28:K28"/>
    <x:mergeCell ref="A29:K29"/>
    <x:mergeCell ref="A30:K30"/>
    <x:mergeCell ref="A31:K31"/>
  </x:mergeCells>
  <x:pageMargins left="0.7" right="0.7" top="0.75" bottom="0.75" header="0.3" footer="0.3"/>
  <x:drawing xmlns:r="http://schemas.openxmlformats.org/officeDocument/2006/relationships" r:id="Rb172d3e398474ec2"/>
</x:worksheet>
</file>

<file path=xl/worksheets/sheet2.xml><?xml version="1.0" encoding="utf-8"?>
<x:worksheet xmlns:x="http://schemas.openxmlformats.org/spreadsheetml/2006/main">
  <x:sheetPr>
    <x:tabColor rgb="FF147D7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1" hidden="0" customWidth="1"/>
    <x:col min="4" max="4" width="11" hidden="0" customWidth="1"/>
    <x:col min="5" max="5" width="12" hidden="0" customWidth="1"/>
    <x:col min="6" max="6" width="15" hidden="0" customWidth="1"/>
    <x:col min="7" max="7" width="21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24" hidden="0" customWidth="1"/>
  </x:cols>
  <x:sheetData>
    <x:row r="1" ht="34" customHeight="1">
      <x:c r="A1" s="23" t="str">
        <x:v>Ngay</x:v>
      </x:c>
      <x:c r="B1" s="24" t="str">
        <x:v>Ma giao dich</x:v>
      </x:c>
      <x:c r="C1" s="24" t="str">
        <x:v>Loai</x:v>
      </x:c>
      <x:c r="D1" s="24" t="str">
        <x:v>SKU</x:v>
      </x:c>
      <x:c r="E1" s="24" t="str">
        <x:v>So luong</x:v>
      </x:c>
      <x:c r="F1" s="24" t="str">
        <x:v>Don gia</x:v>
      </x:c>
      <x:c r="G1" s="24" t="str">
        <x:v>Doi tac</x:v>
      </x:c>
      <x:c r="H1" s="24" t="str">
        <x:v>Da thanh toan</x:v>
      </x:c>
      <x:c r="I1" s="24" t="str">
        <x:v>Thanh tien</x:v>
      </x:c>
      <x:c r="J1" s="24" t="str">
        <x:v>Con no</x:v>
      </x:c>
      <x:c r="K1" s="24" t="str">
        <x:v>Gia von</x:v>
      </x:c>
      <x:c r="L1" s="24" t="str">
        <x:v>Lai gop</x:v>
      </x:c>
      <x:c r="M1" s="25" t="str">
        <x:v>Ghi chu</x:v>
      </x:c>
    </x:row>
    <x:row r="2" ht="22" customHeight="1">
      <x:c r="A2" s="26" t="d">
        <x:v>2026-10-01T00:00:00.000Z</x:v>
      </x:c>
      <x:c r="B2" s="11" t="str">
        <x:v>GD001</x:v>
      </x:c>
      <x:c r="C2" s="11" t="str">
        <x:v>Nhap</x:v>
      </x:c>
      <x:c r="D2" s="11" t="str">
        <x:v>SP001</x:v>
      </x:c>
      <x:c r="E2" s="14" t="n">
        <x:v>20</x:v>
      </x:c>
      <x:c r="F2" s="17" t="n">
        <x:v>120000</x:v>
      </x:c>
      <x:c r="G2" s="17" t="str">
        <x:v>NCC Minh An</x:v>
      </x:c>
      <x:c r="H2" s="17" t="n">
        <x:v>2400000</x:v>
      </x:c>
      <x:c r="I2" s="17" t="n">
        <x:f>IF(OR(C2="",E2="",F2=""),"",E2*F2)</x:f>
        <x:v>2400000</x:v>
      </x:c>
      <x:c r="J2" s="17" t="n">
        <x:f>IF(C2="Ban",MAX(I2-H2,0),0)</x:f>
        <x:v>0</x:v>
      </x:c>
      <x:c r="K2" s="17" t="n">
        <x:f>IF(D2="","",VLOOKUP(D2,'San pham'!$A$2:$G$51,5,FALSE))</x:f>
        <x:v>120000</x:v>
      </x:c>
      <x:c r="L2" s="17" t="n">
        <x:f>IF(C2="Ban",I2-(E2*K2),0)</x:f>
        <x:v>0</x:v>
      </x:c>
      <x:c r="M2" s="11" t="str">
        <x:v>Nhap bo sung</x:v>
      </x:c>
    </x:row>
    <x:row r="3" ht="22" customHeight="1">
      <x:c r="A3" s="27" t="d">
        <x:v>2026-10-02T00:00:00.000Z</x:v>
      </x:c>
      <x:c r="B3" s="12" t="str">
        <x:v>GD002</x:v>
      </x:c>
      <x:c r="C3" s="12" t="str">
        <x:v>Ban</x:v>
      </x:c>
      <x:c r="D3" s="12" t="str">
        <x:v>SP001</x:v>
      </x:c>
      <x:c r="E3" s="15" t="n">
        <x:v>10</x:v>
      </x:c>
      <x:c r="F3" s="18" t="n">
        <x:v>180000</x:v>
      </x:c>
      <x:c r="G3" s="18" t="str">
        <x:v>Quan A</x:v>
      </x:c>
      <x:c r="H3" s="18" t="n">
        <x:v>1200000</x:v>
      </x:c>
      <x:c r="I3" s="18" t="n">
        <x:f>IF(OR(C3="",E3="",F3=""),"",E3*F3)</x:f>
        <x:v>1800000</x:v>
      </x:c>
      <x:c r="J3" s="18" t="n">
        <x:f>IF(C3="Ban",MAX(I3-H3,0),0)</x:f>
        <x:v>600000</x:v>
      </x:c>
      <x:c r="K3" s="18" t="n">
        <x:f>IF(D3="","",VLOOKUP(D3,'San pham'!$A$2:$G$51,5,FALSE))</x:f>
        <x:v>120000</x:v>
      </x:c>
      <x:c r="L3" s="18" t="n">
        <x:f>IF(C3="Ban",I3-(E3*K3),0)</x:f>
        <x:v>600000</x:v>
      </x:c>
      <x:c r="M3" s="12" t="str">
        <x:v>Hen thu phan con lai</x:v>
      </x:c>
    </x:row>
    <x:row r="4" ht="22" customHeight="1">
      <x:c r="A4" s="27" t="d">
        <x:v>2026-10-03T00:00:00.000Z</x:v>
      </x:c>
      <x:c r="B4" s="12" t="str">
        <x:v>GD003</x:v>
      </x:c>
      <x:c r="C4" s="12" t="str">
        <x:v>Nhap</x:v>
      </x:c>
      <x:c r="D4" s="12" t="str">
        <x:v>SP002</x:v>
      </x:c>
      <x:c r="E4" s="15" t="n">
        <x:v>30</x:v>
      </x:c>
      <x:c r="F4" s="18" t="n">
        <x:v>55000</x:v>
      </x:c>
      <x:c r="G4" s="18" t="str">
        <x:v>NCC Hoa Viet</x:v>
      </x:c>
      <x:c r="H4" s="18" t="n">
        <x:v>1650000</x:v>
      </x:c>
      <x:c r="I4" s="18" t="n">
        <x:f>IF(OR(C4="",E4="",F4=""),"",E4*F4)</x:f>
        <x:v>1650000</x:v>
      </x:c>
      <x:c r="J4" s="18" t="n">
        <x:f>IF(C4="Ban",MAX(I4-H4,0),0)</x:f>
        <x:v>0</x:v>
      </x:c>
      <x:c r="K4" s="18" t="n">
        <x:f>IF(D4="","",VLOOKUP(D4,'San pham'!$A$2:$G$51,5,FALSE))</x:f>
        <x:v>55000</x:v>
      </x:c>
      <x:c r="L4" s="18" t="n">
        <x:f>IF(C4="Ban",I4-(E4*K4),0)</x:f>
        <x:v>0</x:v>
      </x:c>
      <x:c r="M4" s="12" t="str">
        <x:v>Nhap dinh ky</x:v>
      </x:c>
    </x:row>
    <x:row r="5" ht="22" customHeight="1">
      <x:c r="A5" s="27" t="d">
        <x:v>2026-10-04T00:00:00.000Z</x:v>
      </x:c>
      <x:c r="B5" s="12" t="str">
        <x:v>GD004</x:v>
      </x:c>
      <x:c r="C5" s="12" t="str">
        <x:v>Ban</x:v>
      </x:c>
      <x:c r="D5" s="12" t="str">
        <x:v>SP002</x:v>
      </x:c>
      <x:c r="E5" s="15" t="n">
        <x:v>12</x:v>
      </x:c>
      <x:c r="F5" s="18" t="n">
        <x:v>95000</x:v>
      </x:c>
      <x:c r="G5" s="18" t="str">
        <x:v>Quan B</x:v>
      </x:c>
      <x:c r="H5" s="18" t="n">
        <x:v>1140000</x:v>
      </x:c>
      <x:c r="I5" s="18" t="n">
        <x:f>IF(OR(C5="",E5="",F5=""),"",E5*F5)</x:f>
        <x:v>1140000</x:v>
      </x:c>
      <x:c r="J5" s="18" t="n">
        <x:f>IF(C5="Ban",MAX(I5-H5,0),0)</x:f>
        <x:v>0</x:v>
      </x:c>
      <x:c r="K5" s="18" t="n">
        <x:f>IF(D5="","",VLOOKUP(D5,'San pham'!$A$2:$G$51,5,FALSE))</x:f>
        <x:v>55000</x:v>
      </x:c>
      <x:c r="L5" s="18" t="n">
        <x:f>IF(C5="Ban",I5-(E5*K5),0)</x:f>
        <x:v>480000</x:v>
      </x:c>
      <x:c r="M5" s="12" t="str">
        <x:v>Da thu du</x:v>
      </x:c>
    </x:row>
    <x:row r="6" ht="22" customHeight="1">
      <x:c r="A6" s="27" t="d">
        <x:v>2026-10-05T00:00:00.000Z</x:v>
      </x:c>
      <x:c r="B6" s="12" t="str">
        <x:v>GD005</x:v>
      </x:c>
      <x:c r="C6" s="12" t="str">
        <x:v>Nhap</x:v>
      </x:c>
      <x:c r="D6" s="12" t="str">
        <x:v>SP003</x:v>
      </x:c>
      <x:c r="E6" s="15" t="n">
        <x:v>200</x:v>
      </x:c>
      <x:c r="F6" s="18" t="n">
        <x:v>1200</x:v>
      </x:c>
      <x:c r="G6" s="18" t="str">
        <x:v>NCC Bao Bi</x:v>
      </x:c>
      <x:c r="H6" s="18" t="n">
        <x:v>240000</x:v>
      </x:c>
      <x:c r="I6" s="18" t="n">
        <x:f>IF(OR(C6="",E6="",F6=""),"",E6*F6)</x:f>
        <x:v>240000</x:v>
      </x:c>
      <x:c r="J6" s="18" t="n">
        <x:f>IF(C6="Ban",MAX(I6-H6,0),0)</x:f>
        <x:v>0</x:v>
      </x:c>
      <x:c r="K6" s="18" t="n">
        <x:f>IF(D6="","",VLOOKUP(D6,'San pham'!$A$2:$G$51,5,FALSE))</x:f>
        <x:v>1200</x:v>
      </x:c>
      <x:c r="L6" s="18" t="n">
        <x:f>IF(C6="Ban",I6-(E6*K6),0)</x:f>
        <x:v>0</x:v>
      </x:c>
      <x:c r="M6" s="12" t="str">
        <x:v>Nhap vat tu</x:v>
      </x:c>
    </x:row>
    <x:row r="7" ht="22" customHeight="1">
      <x:c r="A7" s="27" t="d">
        <x:v>2026-10-06T00:00:00.000Z</x:v>
      </x:c>
      <x:c r="B7" s="12" t="str">
        <x:v>GD006</x:v>
      </x:c>
      <x:c r="C7" s="12" t="str">
        <x:v>Ban</x:v>
      </x:c>
      <x:c r="D7" s="12" t="str">
        <x:v>SP003</x:v>
      </x:c>
      <x:c r="E7" s="15" t="n">
        <x:v>80</x:v>
      </x:c>
      <x:c r="F7" s="18" t="n">
        <x:v>2500</x:v>
      </x:c>
      <x:c r="G7" s="18" t="str">
        <x:v>Quan A</x:v>
      </x:c>
      <x:c r="H7" s="18" t="n">
        <x:v>100000</x:v>
      </x:c>
      <x:c r="I7" s="18" t="n">
        <x:f>IF(OR(C7="",E7="",F7=""),"",E7*F7)</x:f>
        <x:v>200000</x:v>
      </x:c>
      <x:c r="J7" s="18" t="n">
        <x:f>IF(C7="Ban",MAX(I7-H7,0),0)</x:f>
        <x:v>100000</x:v>
      </x:c>
      <x:c r="K7" s="18" t="n">
        <x:f>IF(D7="","",VLOOKUP(D7,'San pham'!$A$2:$G$51,5,FALSE))</x:f>
        <x:v>1200</x:v>
      </x:c>
      <x:c r="L7" s="18" t="n">
        <x:f>IF(C7="Ban",I7-(E7*K7),0)</x:f>
        <x:v>104000</x:v>
      </x:c>
      <x:c r="M7" s="12" t="str">
        <x:v>Con no mot phan</x:v>
      </x:c>
    </x:row>
    <x:row r="8" ht="22" customHeight="1">
      <x:c r="A8" s="27" t="d">
        <x:v>2026-10-07T00:00:00.000Z</x:v>
      </x:c>
      <x:c r="B8" s="12" t="str">
        <x:v>GD007</x:v>
      </x:c>
      <x:c r="C8" s="12" t="str">
        <x:v>Ban</x:v>
      </x:c>
      <x:c r="D8" s="12" t="str">
        <x:v>SP001</x:v>
      </x:c>
      <x:c r="E8" s="15" t="n">
        <x:v>8</x:v>
      </x:c>
      <x:c r="F8" s="18" t="n">
        <x:v>185000</x:v>
      </x:c>
      <x:c r="G8" s="18" t="str">
        <x:v>Quan C</x:v>
      </x:c>
      <x:c r="H8" s="18" t="n">
        <x:v>1000000</x:v>
      </x:c>
      <x:c r="I8" s="18" t="n">
        <x:f>IF(OR(C8="",E8="",F8=""),"",E8*F8)</x:f>
        <x:v>1480000</x:v>
      </x:c>
      <x:c r="J8" s="18" t="n">
        <x:f>IF(C8="Ban",MAX(I8-H8,0),0)</x:f>
        <x:v>480000</x:v>
      </x:c>
      <x:c r="K8" s="18" t="n">
        <x:f>IF(D8="","",VLOOKUP(D8,'San pham'!$A$2:$G$51,5,FALSE))</x:f>
        <x:v>120000</x:v>
      </x:c>
      <x:c r="L8" s="18" t="n">
        <x:f>IF(C8="Ban",I8-(E8*K8),0)</x:f>
        <x:v>520000</x:v>
      </x:c>
      <x:c r="M8" s="12" t="str">
        <x:v>Giao tai cua hang</x:v>
      </x:c>
    </x:row>
    <x:row r="9" ht="22" customHeight="1">
      <x:c r="A9" s="27" t="d">
        <x:v>2026-10-08T00:00:00.000Z</x:v>
      </x:c>
      <x:c r="B9" s="12" t="str">
        <x:v>GD008</x:v>
      </x:c>
      <x:c r="C9" s="12" t="str">
        <x:v>Ban</x:v>
      </x:c>
      <x:c r="D9" s="12" t="str">
        <x:v>SP002</x:v>
      </x:c>
      <x:c r="E9" s="15" t="n">
        <x:v>10</x:v>
      </x:c>
      <x:c r="F9" s="18" t="n">
        <x:v>100000</x:v>
      </x:c>
      <x:c r="G9" s="18" t="str">
        <x:v>Quan B</x:v>
      </x:c>
      <x:c r="H9" s="18" t="n">
        <x:v>1000000</x:v>
      </x:c>
      <x:c r="I9" s="18" t="n">
        <x:f>IF(OR(C9="",E9="",F9=""),"",E9*F9)</x:f>
        <x:v>1000000</x:v>
      </x:c>
      <x:c r="J9" s="18" t="n">
        <x:f>IF(C9="Ban",MAX(I9-H9,0),0)</x:f>
        <x:v>0</x:v>
      </x:c>
      <x:c r="K9" s="18" t="n">
        <x:f>IF(D9="","",VLOOKUP(D9,'San pham'!$A$2:$G$51,5,FALSE))</x:f>
        <x:v>55000</x:v>
      </x:c>
      <x:c r="L9" s="18" t="n">
        <x:f>IF(C9="Ban",I9-(E9*K9),0)</x:f>
        <x:v>450000</x:v>
      </x:c>
      <x:c r="M9" s="12" t="str">
        <x:v>Da thu du</x:v>
      </x:c>
    </x:row>
    <x:row r="10" ht="22" customHeight="1">
      <x:c r="A10" s="27" t="d">
        <x:v>2026-10-09T00:00:00.000Z</x:v>
      </x:c>
      <x:c r="B10" s="12" t="str">
        <x:v>GD009</x:v>
      </x:c>
      <x:c r="C10" s="12" t="str">
        <x:v>Nhap</x:v>
      </x:c>
      <x:c r="D10" s="12" t="str">
        <x:v>SP001</x:v>
      </x:c>
      <x:c r="E10" s="15" t="n">
        <x:v>15</x:v>
      </x:c>
      <x:c r="F10" s="18" t="n">
        <x:v>125000</x:v>
      </x:c>
      <x:c r="G10" s="18" t="str">
        <x:v>NCC Minh An</x:v>
      </x:c>
      <x:c r="H10" s="18" t="n">
        <x:v>1875000</x:v>
      </x:c>
      <x:c r="I10" s="18" t="n">
        <x:f>IF(OR(C10="",E10="",F10=""),"",E10*F10)</x:f>
        <x:v>1875000</x:v>
      </x:c>
      <x:c r="J10" s="18" t="n">
        <x:f>IF(C10="Ban",MAX(I10-H10,0),0)</x:f>
        <x:v>0</x:v>
      </x:c>
      <x:c r="K10" s="18" t="n">
        <x:f>IF(D10="","",VLOOKUP(D10,'San pham'!$A$2:$G$51,5,FALSE))</x:f>
        <x:v>120000</x:v>
      </x:c>
      <x:c r="L10" s="18" t="n">
        <x:f>IF(C10="Ban",I10-(E10*K10),0)</x:f>
        <x:v>0</x:v>
      </x:c>
      <x:c r="M10" s="12" t="str">
        <x:v>Gia nhap moi</x:v>
      </x:c>
    </x:row>
    <x:row r="11" ht="22" customHeight="1">
      <x:c r="A11" s="27" t="d">
        <x:v>2026-10-10T00:00:00.000Z</x:v>
      </x:c>
      <x:c r="B11" s="12" t="str">
        <x:v>GD010</x:v>
      </x:c>
      <x:c r="C11" s="12" t="str">
        <x:v>Ban</x:v>
      </x:c>
      <x:c r="D11" s="12" t="str">
        <x:v>SP001</x:v>
      </x:c>
      <x:c r="E11" s="15" t="n">
        <x:v>12</x:v>
      </x:c>
      <x:c r="F11" s="18" t="n">
        <x:v>190000</x:v>
      </x:c>
      <x:c r="G11" s="18" t="str">
        <x:v>Quan A</x:v>
      </x:c>
      <x:c r="H11" s="18" t="n">
        <x:v>2000000</x:v>
      </x:c>
      <x:c r="I11" s="18" t="n">
        <x:f>IF(OR(C11="",E11="",F11=""),"",E11*F11)</x:f>
        <x:v>2280000</x:v>
      </x:c>
      <x:c r="J11" s="18" t="n">
        <x:f>IF(C11="Ban",MAX(I11-H11,0),0)</x:f>
        <x:v>280000</x:v>
      </x:c>
      <x:c r="K11" s="18" t="n">
        <x:f>IF(D11="","",VLOOKUP(D11,'San pham'!$A$2:$G$51,5,FALSE))</x:f>
        <x:v>120000</x:v>
      </x:c>
      <x:c r="L11" s="18" t="n">
        <x:f>IF(C11="Ban",I11-(E11*K11),0)</x:f>
        <x:v>840000</x:v>
      </x:c>
      <x:c r="M11" s="12" t="str">
        <x:v>Con no mot phan</x:v>
      </x:c>
    </x:row>
    <x:row r="12" ht="22" customHeight="1">
      <x:c r="A12" s="27"/>
      <x:c r="B12" s="12"/>
      <x:c r="C12" s="12"/>
      <x:c r="D12" s="12"/>
      <x:c r="E12" s="15"/>
      <x:c r="F12" s="18"/>
      <x:c r="G12" s="18"/>
      <x:c r="H12" s="18"/>
      <x:c r="I12" s="18" t="str">
        <x:f>IF(OR(C12="",E12="",F12=""),"",E12*F12)</x:f>
      </x:c>
      <x:c r="J12" s="18" t="n">
        <x:f>IF(C12="Ban",MAX(I12-H12,0),0)</x:f>
        <x:v>0</x:v>
      </x:c>
      <x:c r="K12" s="18" t="str">
        <x:f>IF(D12="","",VLOOKUP(D12,'San pham'!$A$2:$G$51,5,FALSE))</x:f>
      </x:c>
      <x:c r="L12" s="18" t="n">
        <x:f>IF(C12="Ban",I12-(E12*K12),0)</x:f>
        <x:v>0</x:v>
      </x:c>
      <x:c r="M12" s="12"/>
    </x:row>
    <x:row r="13" ht="22" customHeight="1">
      <x:c r="A13" s="27"/>
      <x:c r="B13" s="12"/>
      <x:c r="C13" s="12"/>
      <x:c r="D13" s="12"/>
      <x:c r="E13" s="15"/>
      <x:c r="F13" s="18"/>
      <x:c r="G13" s="18"/>
      <x:c r="H13" s="18"/>
      <x:c r="I13" s="18" t="str">
        <x:f>IF(OR(C13="",E13="",F13=""),"",E13*F13)</x:f>
      </x:c>
      <x:c r="J13" s="18" t="n">
        <x:f>IF(C13="Ban",MAX(I13-H13,0),0)</x:f>
        <x:v>0</x:v>
      </x:c>
      <x:c r="K13" s="18" t="str">
        <x:f>IF(D13="","",VLOOKUP(D13,'San pham'!$A$2:$G$51,5,FALSE))</x:f>
      </x:c>
      <x:c r="L13" s="18" t="n">
        <x:f>IF(C13="Ban",I13-(E13*K13),0)</x:f>
        <x:v>0</x:v>
      </x:c>
      <x:c r="M13" s="12"/>
    </x:row>
    <x:row r="14" ht="22" customHeight="1">
      <x:c r="A14" s="27"/>
      <x:c r="B14" s="12"/>
      <x:c r="C14" s="12"/>
      <x:c r="D14" s="12"/>
      <x:c r="E14" s="15"/>
      <x:c r="F14" s="18"/>
      <x:c r="G14" s="18"/>
      <x:c r="H14" s="18"/>
      <x:c r="I14" s="18" t="str">
        <x:f>IF(OR(C14="",E14="",F14=""),"",E14*F14)</x:f>
      </x:c>
      <x:c r="J14" s="18" t="n">
        <x:f>IF(C14="Ban",MAX(I14-H14,0),0)</x:f>
        <x:v>0</x:v>
      </x:c>
      <x:c r="K14" s="18" t="str">
        <x:f>IF(D14="","",VLOOKUP(D14,'San pham'!$A$2:$G$51,5,FALSE))</x:f>
      </x:c>
      <x:c r="L14" s="18" t="n">
        <x:f>IF(C14="Ban",I14-(E14*K14),0)</x:f>
        <x:v>0</x:v>
      </x:c>
      <x:c r="M14" s="12"/>
    </x:row>
    <x:row r="15" ht="22" customHeight="1">
      <x:c r="A15" s="27"/>
      <x:c r="B15" s="12"/>
      <x:c r="C15" s="12"/>
      <x:c r="D15" s="12"/>
      <x:c r="E15" s="15"/>
      <x:c r="F15" s="18"/>
      <x:c r="G15" s="18"/>
      <x:c r="H15" s="18"/>
      <x:c r="I15" s="18" t="str">
        <x:f>IF(OR(C15="",E15="",F15=""),"",E15*F15)</x:f>
      </x:c>
      <x:c r="J15" s="18" t="n">
        <x:f>IF(C15="Ban",MAX(I15-H15,0),0)</x:f>
        <x:v>0</x:v>
      </x:c>
      <x:c r="K15" s="18" t="str">
        <x:f>IF(D15="","",VLOOKUP(D15,'San pham'!$A$2:$G$51,5,FALSE))</x:f>
      </x:c>
      <x:c r="L15" s="18" t="n">
        <x:f>IF(C15="Ban",I15-(E15*K15),0)</x:f>
        <x:v>0</x:v>
      </x:c>
      <x:c r="M15" s="12"/>
    </x:row>
    <x:row r="16" ht="22" customHeight="1">
      <x:c r="A16" s="27"/>
      <x:c r="B16" s="12"/>
      <x:c r="C16" s="12"/>
      <x:c r="D16" s="12"/>
      <x:c r="E16" s="15"/>
      <x:c r="F16" s="18"/>
      <x:c r="G16" s="18"/>
      <x:c r="H16" s="18"/>
      <x:c r="I16" s="18" t="str">
        <x:f>IF(OR(C16="",E16="",F16=""),"",E16*F16)</x:f>
      </x:c>
      <x:c r="J16" s="18" t="n">
        <x:f>IF(C16="Ban",MAX(I16-H16,0),0)</x:f>
        <x:v>0</x:v>
      </x:c>
      <x:c r="K16" s="18" t="str">
        <x:f>IF(D16="","",VLOOKUP(D16,'San pham'!$A$2:$G$51,5,FALSE))</x:f>
      </x:c>
      <x:c r="L16" s="18" t="n">
        <x:f>IF(C16="Ban",I16-(E16*K16),0)</x:f>
        <x:v>0</x:v>
      </x:c>
      <x:c r="M16" s="12"/>
    </x:row>
    <x:row r="17" ht="22" customHeight="1">
      <x:c r="A17" s="27"/>
      <x:c r="B17" s="12"/>
      <x:c r="C17" s="12"/>
      <x:c r="D17" s="12"/>
      <x:c r="E17" s="15"/>
      <x:c r="F17" s="18"/>
      <x:c r="G17" s="18"/>
      <x:c r="H17" s="18"/>
      <x:c r="I17" s="18" t="str">
        <x:f>IF(OR(C17="",E17="",F17=""),"",E17*F17)</x:f>
      </x:c>
      <x:c r="J17" s="18" t="n">
        <x:f>IF(C17="Ban",MAX(I17-H17,0),0)</x:f>
        <x:v>0</x:v>
      </x:c>
      <x:c r="K17" s="18" t="str">
        <x:f>IF(D17="","",VLOOKUP(D17,'San pham'!$A$2:$G$51,5,FALSE))</x:f>
      </x:c>
      <x:c r="L17" s="18" t="n">
        <x:f>IF(C17="Ban",I17-(E17*K17),0)</x:f>
        <x:v>0</x:v>
      </x:c>
      <x:c r="M17" s="12"/>
    </x:row>
    <x:row r="18" ht="22" customHeight="1">
      <x:c r="A18" s="27"/>
      <x:c r="B18" s="12"/>
      <x:c r="C18" s="12"/>
      <x:c r="D18" s="12"/>
      <x:c r="E18" s="15"/>
      <x:c r="F18" s="18"/>
      <x:c r="G18" s="18"/>
      <x:c r="H18" s="18"/>
      <x:c r="I18" s="18" t="str">
        <x:f>IF(OR(C18="",E18="",F18=""),"",E18*F18)</x:f>
      </x:c>
      <x:c r="J18" s="18" t="n">
        <x:f>IF(C18="Ban",MAX(I18-H18,0),0)</x:f>
        <x:v>0</x:v>
      </x:c>
      <x:c r="K18" s="18" t="str">
        <x:f>IF(D18="","",VLOOKUP(D18,'San pham'!$A$2:$G$51,5,FALSE))</x:f>
      </x:c>
      <x:c r="L18" s="18" t="n">
        <x:f>IF(C18="Ban",I18-(E18*K18),0)</x:f>
        <x:v>0</x:v>
      </x:c>
      <x:c r="M18" s="12"/>
    </x:row>
    <x:row r="19" ht="22" customHeight="1">
      <x:c r="A19" s="27"/>
      <x:c r="B19" s="12"/>
      <x:c r="C19" s="12"/>
      <x:c r="D19" s="12"/>
      <x:c r="E19" s="15"/>
      <x:c r="F19" s="18"/>
      <x:c r="G19" s="18"/>
      <x:c r="H19" s="18"/>
      <x:c r="I19" s="18" t="str">
        <x:f>IF(OR(C19="",E19="",F19=""),"",E19*F19)</x:f>
      </x:c>
      <x:c r="J19" s="18" t="n">
        <x:f>IF(C19="Ban",MAX(I19-H19,0),0)</x:f>
        <x:v>0</x:v>
      </x:c>
      <x:c r="K19" s="18" t="str">
        <x:f>IF(D19="","",VLOOKUP(D19,'San pham'!$A$2:$G$51,5,FALSE))</x:f>
      </x:c>
      <x:c r="L19" s="18" t="n">
        <x:f>IF(C19="Ban",I19-(E19*K19),0)</x:f>
        <x:v>0</x:v>
      </x:c>
      <x:c r="M19" s="12"/>
    </x:row>
    <x:row r="20" ht="22" customHeight="1">
      <x:c r="A20" s="27"/>
      <x:c r="B20" s="12"/>
      <x:c r="C20" s="12"/>
      <x:c r="D20" s="12"/>
      <x:c r="E20" s="15"/>
      <x:c r="F20" s="18"/>
      <x:c r="G20" s="18"/>
      <x:c r="H20" s="18"/>
      <x:c r="I20" s="18" t="str">
        <x:f>IF(OR(C20="",E20="",F20=""),"",E20*F20)</x:f>
      </x:c>
      <x:c r="J20" s="18" t="n">
        <x:f>IF(C20="Ban",MAX(I20-H20,0),0)</x:f>
        <x:v>0</x:v>
      </x:c>
      <x:c r="K20" s="18" t="str">
        <x:f>IF(D20="","",VLOOKUP(D20,'San pham'!$A$2:$G$51,5,FALSE))</x:f>
      </x:c>
      <x:c r="L20" s="18" t="n">
        <x:f>IF(C20="Ban",I20-(E20*K20),0)</x:f>
        <x:v>0</x:v>
      </x:c>
      <x:c r="M20" s="12"/>
    </x:row>
    <x:row r="21" ht="22" customHeight="1">
      <x:c r="A21" s="27"/>
      <x:c r="B21" s="12"/>
      <x:c r="C21" s="12"/>
      <x:c r="D21" s="12"/>
      <x:c r="E21" s="15"/>
      <x:c r="F21" s="18"/>
      <x:c r="G21" s="18"/>
      <x:c r="H21" s="18"/>
      <x:c r="I21" s="18" t="str">
        <x:f>IF(OR(C21="",E21="",F21=""),"",E21*F21)</x:f>
      </x:c>
      <x:c r="J21" s="18" t="n">
        <x:f>IF(C21="Ban",MAX(I21-H21,0),0)</x:f>
        <x:v>0</x:v>
      </x:c>
      <x:c r="K21" s="18" t="str">
        <x:f>IF(D21="","",VLOOKUP(D21,'San pham'!$A$2:$G$51,5,FALSE))</x:f>
      </x:c>
      <x:c r="L21" s="18" t="n">
        <x:f>IF(C21="Ban",I21-(E21*K21),0)</x:f>
        <x:v>0</x:v>
      </x:c>
      <x:c r="M21" s="12"/>
    </x:row>
    <x:row r="22" ht="22" customHeight="1">
      <x:c r="A22" s="27"/>
      <x:c r="B22" s="12"/>
      <x:c r="C22" s="12"/>
      <x:c r="D22" s="12"/>
      <x:c r="E22" s="15"/>
      <x:c r="F22" s="18"/>
      <x:c r="G22" s="18"/>
      <x:c r="H22" s="18"/>
      <x:c r="I22" s="18" t="str">
        <x:f>IF(OR(C22="",E22="",F22=""),"",E22*F22)</x:f>
      </x:c>
      <x:c r="J22" s="18" t="n">
        <x:f>IF(C22="Ban",MAX(I22-H22,0),0)</x:f>
        <x:v>0</x:v>
      </x:c>
      <x:c r="K22" s="18" t="str">
        <x:f>IF(D22="","",VLOOKUP(D22,'San pham'!$A$2:$G$51,5,FALSE))</x:f>
      </x:c>
      <x:c r="L22" s="18" t="n">
        <x:f>IF(C22="Ban",I22-(E22*K22),0)</x:f>
        <x:v>0</x:v>
      </x:c>
      <x:c r="M22" s="12"/>
    </x:row>
    <x:row r="23" ht="22" customHeight="1">
      <x:c r="A23" s="27"/>
      <x:c r="B23" s="12"/>
      <x:c r="C23" s="12"/>
      <x:c r="D23" s="12"/>
      <x:c r="E23" s="15"/>
      <x:c r="F23" s="18"/>
      <x:c r="G23" s="18"/>
      <x:c r="H23" s="18"/>
      <x:c r="I23" s="18" t="str">
        <x:f>IF(OR(C23="",E23="",F23=""),"",E23*F23)</x:f>
      </x:c>
      <x:c r="J23" s="18" t="n">
        <x:f>IF(C23="Ban",MAX(I23-H23,0),0)</x:f>
        <x:v>0</x:v>
      </x:c>
      <x:c r="K23" s="18" t="str">
        <x:f>IF(D23="","",VLOOKUP(D23,'San pham'!$A$2:$G$51,5,FALSE))</x:f>
      </x:c>
      <x:c r="L23" s="18" t="n">
        <x:f>IF(C23="Ban",I23-(E23*K23),0)</x:f>
        <x:v>0</x:v>
      </x:c>
      <x:c r="M23" s="12"/>
    </x:row>
    <x:row r="24" ht="22" customHeight="1">
      <x:c r="A24" s="27"/>
      <x:c r="B24" s="12"/>
      <x:c r="C24" s="12"/>
      <x:c r="D24" s="12"/>
      <x:c r="E24" s="15"/>
      <x:c r="F24" s="18"/>
      <x:c r="G24" s="18"/>
      <x:c r="H24" s="18"/>
      <x:c r="I24" s="18" t="str">
        <x:f>IF(OR(C24="",E24="",F24=""),"",E24*F24)</x:f>
      </x:c>
      <x:c r="J24" s="18" t="n">
        <x:f>IF(C24="Ban",MAX(I24-H24,0),0)</x:f>
        <x:v>0</x:v>
      </x:c>
      <x:c r="K24" s="18" t="str">
        <x:f>IF(D24="","",VLOOKUP(D24,'San pham'!$A$2:$G$51,5,FALSE))</x:f>
      </x:c>
      <x:c r="L24" s="18" t="n">
        <x:f>IF(C24="Ban",I24-(E24*K24),0)</x:f>
        <x:v>0</x:v>
      </x:c>
      <x:c r="M24" s="12"/>
    </x:row>
    <x:row r="25" ht="22" customHeight="1">
      <x:c r="A25" s="27"/>
      <x:c r="B25" s="12"/>
      <x:c r="C25" s="12"/>
      <x:c r="D25" s="12"/>
      <x:c r="E25" s="15"/>
      <x:c r="F25" s="18"/>
      <x:c r="G25" s="18"/>
      <x:c r="H25" s="18"/>
      <x:c r="I25" s="18" t="str">
        <x:f>IF(OR(C25="",E25="",F25=""),"",E25*F25)</x:f>
      </x:c>
      <x:c r="J25" s="18" t="n">
        <x:f>IF(C25="Ban",MAX(I25-H25,0),0)</x:f>
        <x:v>0</x:v>
      </x:c>
      <x:c r="K25" s="18" t="str">
        <x:f>IF(D25="","",VLOOKUP(D25,'San pham'!$A$2:$G$51,5,FALSE))</x:f>
      </x:c>
      <x:c r="L25" s="18" t="n">
        <x:f>IF(C25="Ban",I25-(E25*K25),0)</x:f>
        <x:v>0</x:v>
      </x:c>
      <x:c r="M25" s="12"/>
    </x:row>
    <x:row r="26" ht="22" customHeight="1">
      <x:c r="A26" s="27"/>
      <x:c r="B26" s="12"/>
      <x:c r="C26" s="12"/>
      <x:c r="D26" s="12"/>
      <x:c r="E26" s="15"/>
      <x:c r="F26" s="18"/>
      <x:c r="G26" s="18"/>
      <x:c r="H26" s="18"/>
      <x:c r="I26" s="18" t="str">
        <x:f>IF(OR(C26="",E26="",F26=""),"",E26*F26)</x:f>
      </x:c>
      <x:c r="J26" s="18" t="n">
        <x:f>IF(C26="Ban",MAX(I26-H26,0),0)</x:f>
        <x:v>0</x:v>
      </x:c>
      <x:c r="K26" s="18" t="str">
        <x:f>IF(D26="","",VLOOKUP(D26,'San pham'!$A$2:$G$51,5,FALSE))</x:f>
      </x:c>
      <x:c r="L26" s="18" t="n">
        <x:f>IF(C26="Ban",I26-(E26*K26),0)</x:f>
        <x:v>0</x:v>
      </x:c>
      <x:c r="M26" s="12"/>
    </x:row>
    <x:row r="27" ht="22" customHeight="1">
      <x:c r="A27" s="27"/>
      <x:c r="B27" s="12"/>
      <x:c r="C27" s="12"/>
      <x:c r="D27" s="12"/>
      <x:c r="E27" s="15"/>
      <x:c r="F27" s="18"/>
      <x:c r="G27" s="18"/>
      <x:c r="H27" s="18"/>
      <x:c r="I27" s="18" t="str">
        <x:f>IF(OR(C27="",E27="",F27=""),"",E27*F27)</x:f>
      </x:c>
      <x:c r="J27" s="18" t="n">
        <x:f>IF(C27="Ban",MAX(I27-H27,0),0)</x:f>
        <x:v>0</x:v>
      </x:c>
      <x:c r="K27" s="18" t="str">
        <x:f>IF(D27="","",VLOOKUP(D27,'San pham'!$A$2:$G$51,5,FALSE))</x:f>
      </x:c>
      <x:c r="L27" s="18" t="n">
        <x:f>IF(C27="Ban",I27-(E27*K27),0)</x:f>
        <x:v>0</x:v>
      </x:c>
      <x:c r="M27" s="12"/>
    </x:row>
    <x:row r="28" ht="22" customHeight="1">
      <x:c r="A28" s="27"/>
      <x:c r="B28" s="12"/>
      <x:c r="C28" s="12"/>
      <x:c r="D28" s="12"/>
      <x:c r="E28" s="15"/>
      <x:c r="F28" s="18"/>
      <x:c r="G28" s="18"/>
      <x:c r="H28" s="18"/>
      <x:c r="I28" s="18" t="str">
        <x:f>IF(OR(C28="",E28="",F28=""),"",E28*F28)</x:f>
      </x:c>
      <x:c r="J28" s="18" t="n">
        <x:f>IF(C28="Ban",MAX(I28-H28,0),0)</x:f>
        <x:v>0</x:v>
      </x:c>
      <x:c r="K28" s="18" t="str">
        <x:f>IF(D28="","",VLOOKUP(D28,'San pham'!$A$2:$G$51,5,FALSE))</x:f>
      </x:c>
      <x:c r="L28" s="18" t="n">
        <x:f>IF(C28="Ban",I28-(E28*K28),0)</x:f>
        <x:v>0</x:v>
      </x:c>
      <x:c r="M28" s="12"/>
    </x:row>
    <x:row r="29" ht="22" customHeight="1">
      <x:c r="A29" s="27"/>
      <x:c r="B29" s="12"/>
      <x:c r="C29" s="12"/>
      <x:c r="D29" s="12"/>
      <x:c r="E29" s="15"/>
      <x:c r="F29" s="18"/>
      <x:c r="G29" s="18"/>
      <x:c r="H29" s="18"/>
      <x:c r="I29" s="18" t="str">
        <x:f>IF(OR(C29="",E29="",F29=""),"",E29*F29)</x:f>
      </x:c>
      <x:c r="J29" s="18" t="n">
        <x:f>IF(C29="Ban",MAX(I29-H29,0),0)</x:f>
        <x:v>0</x:v>
      </x:c>
      <x:c r="K29" s="18" t="str">
        <x:f>IF(D29="","",VLOOKUP(D29,'San pham'!$A$2:$G$51,5,FALSE))</x:f>
      </x:c>
      <x:c r="L29" s="18" t="n">
        <x:f>IF(C29="Ban",I29-(E29*K29),0)</x:f>
        <x:v>0</x:v>
      </x:c>
      <x:c r="M29" s="12"/>
    </x:row>
    <x:row r="30" ht="22" customHeight="1">
      <x:c r="A30" s="27"/>
      <x:c r="B30" s="12"/>
      <x:c r="C30" s="12"/>
      <x:c r="D30" s="12"/>
      <x:c r="E30" s="15"/>
      <x:c r="F30" s="18"/>
      <x:c r="G30" s="18"/>
      <x:c r="H30" s="18"/>
      <x:c r="I30" s="18" t="str">
        <x:f>IF(OR(C30="",E30="",F30=""),"",E30*F30)</x:f>
      </x:c>
      <x:c r="J30" s="18" t="n">
        <x:f>IF(C30="Ban",MAX(I30-H30,0),0)</x:f>
        <x:v>0</x:v>
      </x:c>
      <x:c r="K30" s="18" t="str">
        <x:f>IF(D30="","",VLOOKUP(D30,'San pham'!$A$2:$G$51,5,FALSE))</x:f>
      </x:c>
      <x:c r="L30" s="18" t="n">
        <x:f>IF(C30="Ban",I30-(E30*K30),0)</x:f>
        <x:v>0</x:v>
      </x:c>
      <x:c r="M30" s="12"/>
    </x:row>
    <x:row r="31" ht="22" customHeight="1">
      <x:c r="A31" s="27"/>
      <x:c r="B31" s="12"/>
      <x:c r="C31" s="12"/>
      <x:c r="D31" s="12"/>
      <x:c r="E31" s="15"/>
      <x:c r="F31" s="18"/>
      <x:c r="G31" s="18"/>
      <x:c r="H31" s="18"/>
      <x:c r="I31" s="18" t="str">
        <x:f>IF(OR(C31="",E31="",F31=""),"",E31*F31)</x:f>
      </x:c>
      <x:c r="J31" s="18" t="n">
        <x:f>IF(C31="Ban",MAX(I31-H31,0),0)</x:f>
        <x:v>0</x:v>
      </x:c>
      <x:c r="K31" s="18" t="str">
        <x:f>IF(D31="","",VLOOKUP(D31,'San pham'!$A$2:$G$51,5,FALSE))</x:f>
      </x:c>
      <x:c r="L31" s="18" t="n">
        <x:f>IF(C31="Ban",I31-(E31*K31),0)</x:f>
        <x:v>0</x:v>
      </x:c>
      <x:c r="M31" s="12"/>
    </x:row>
    <x:row r="32" ht="22" customHeight="1">
      <x:c r="A32" s="27"/>
      <x:c r="B32" s="12"/>
      <x:c r="C32" s="12"/>
      <x:c r="D32" s="12"/>
      <x:c r="E32" s="15"/>
      <x:c r="F32" s="18"/>
      <x:c r="G32" s="18"/>
      <x:c r="H32" s="18"/>
      <x:c r="I32" s="18" t="str">
        <x:f>IF(OR(C32="",E32="",F32=""),"",E32*F32)</x:f>
      </x:c>
      <x:c r="J32" s="18" t="n">
        <x:f>IF(C32="Ban",MAX(I32-H32,0),0)</x:f>
        <x:v>0</x:v>
      </x:c>
      <x:c r="K32" s="18" t="str">
        <x:f>IF(D32="","",VLOOKUP(D32,'San pham'!$A$2:$G$51,5,FALSE))</x:f>
      </x:c>
      <x:c r="L32" s="18" t="n">
        <x:f>IF(C32="Ban",I32-(E32*K32),0)</x:f>
        <x:v>0</x:v>
      </x:c>
      <x:c r="M32" s="12"/>
    </x:row>
    <x:row r="33" ht="22" customHeight="1">
      <x:c r="A33" s="27"/>
      <x:c r="B33" s="12"/>
      <x:c r="C33" s="12"/>
      <x:c r="D33" s="12"/>
      <x:c r="E33" s="15"/>
      <x:c r="F33" s="18"/>
      <x:c r="G33" s="18"/>
      <x:c r="H33" s="18"/>
      <x:c r="I33" s="18" t="str">
        <x:f>IF(OR(C33="",E33="",F33=""),"",E33*F33)</x:f>
      </x:c>
      <x:c r="J33" s="18" t="n">
        <x:f>IF(C33="Ban",MAX(I33-H33,0),0)</x:f>
        <x:v>0</x:v>
      </x:c>
      <x:c r="K33" s="18" t="str">
        <x:f>IF(D33="","",VLOOKUP(D33,'San pham'!$A$2:$G$51,5,FALSE))</x:f>
      </x:c>
      <x:c r="L33" s="18" t="n">
        <x:f>IF(C33="Ban",I33-(E33*K33),0)</x:f>
        <x:v>0</x:v>
      </x:c>
      <x:c r="M33" s="12"/>
    </x:row>
    <x:row r="34" ht="22" customHeight="1">
      <x:c r="A34" s="27"/>
      <x:c r="B34" s="12"/>
      <x:c r="C34" s="12"/>
      <x:c r="D34" s="12"/>
      <x:c r="E34" s="15"/>
      <x:c r="F34" s="18"/>
      <x:c r="G34" s="18"/>
      <x:c r="H34" s="18"/>
      <x:c r="I34" s="18" t="str">
        <x:f>IF(OR(C34="",E34="",F34=""),"",E34*F34)</x:f>
      </x:c>
      <x:c r="J34" s="18" t="n">
        <x:f>IF(C34="Ban",MAX(I34-H34,0),0)</x:f>
        <x:v>0</x:v>
      </x:c>
      <x:c r="K34" s="18" t="str">
        <x:f>IF(D34="","",VLOOKUP(D34,'San pham'!$A$2:$G$51,5,FALSE))</x:f>
      </x:c>
      <x:c r="L34" s="18" t="n">
        <x:f>IF(C34="Ban",I34-(E34*K34),0)</x:f>
        <x:v>0</x:v>
      </x:c>
      <x:c r="M34" s="12"/>
    </x:row>
    <x:row r="35" ht="22" customHeight="1">
      <x:c r="A35" s="27"/>
      <x:c r="B35" s="12"/>
      <x:c r="C35" s="12"/>
      <x:c r="D35" s="12"/>
      <x:c r="E35" s="15"/>
      <x:c r="F35" s="18"/>
      <x:c r="G35" s="18"/>
      <x:c r="H35" s="18"/>
      <x:c r="I35" s="18" t="str">
        <x:f>IF(OR(C35="",E35="",F35=""),"",E35*F35)</x:f>
      </x:c>
      <x:c r="J35" s="18" t="n">
        <x:f>IF(C35="Ban",MAX(I35-H35,0),0)</x:f>
        <x:v>0</x:v>
      </x:c>
      <x:c r="K35" s="18" t="str">
        <x:f>IF(D35="","",VLOOKUP(D35,'San pham'!$A$2:$G$51,5,FALSE))</x:f>
      </x:c>
      <x:c r="L35" s="18" t="n">
        <x:f>IF(C35="Ban",I35-(E35*K35),0)</x:f>
        <x:v>0</x:v>
      </x:c>
      <x:c r="M35" s="12"/>
    </x:row>
    <x:row r="36" ht="22" customHeight="1">
      <x:c r="A36" s="27"/>
      <x:c r="B36" s="12"/>
      <x:c r="C36" s="12"/>
      <x:c r="D36" s="12"/>
      <x:c r="E36" s="15"/>
      <x:c r="F36" s="18"/>
      <x:c r="G36" s="18"/>
      <x:c r="H36" s="18"/>
      <x:c r="I36" s="18" t="str">
        <x:f>IF(OR(C36="",E36="",F36=""),"",E36*F36)</x:f>
      </x:c>
      <x:c r="J36" s="18" t="n">
        <x:f>IF(C36="Ban",MAX(I36-H36,0),0)</x:f>
        <x:v>0</x:v>
      </x:c>
      <x:c r="K36" s="18" t="str">
        <x:f>IF(D36="","",VLOOKUP(D36,'San pham'!$A$2:$G$51,5,FALSE))</x:f>
      </x:c>
      <x:c r="L36" s="18" t="n">
        <x:f>IF(C36="Ban",I36-(E36*K36),0)</x:f>
        <x:v>0</x:v>
      </x:c>
      <x:c r="M36" s="12"/>
    </x:row>
    <x:row r="37" ht="22" customHeight="1">
      <x:c r="A37" s="27"/>
      <x:c r="B37" s="12"/>
      <x:c r="C37" s="12"/>
      <x:c r="D37" s="12"/>
      <x:c r="E37" s="15"/>
      <x:c r="F37" s="18"/>
      <x:c r="G37" s="18"/>
      <x:c r="H37" s="18"/>
      <x:c r="I37" s="18" t="str">
        <x:f>IF(OR(C37="",E37="",F37=""),"",E37*F37)</x:f>
      </x:c>
      <x:c r="J37" s="18" t="n">
        <x:f>IF(C37="Ban",MAX(I37-H37,0),0)</x:f>
        <x:v>0</x:v>
      </x:c>
      <x:c r="K37" s="18" t="str">
        <x:f>IF(D37="","",VLOOKUP(D37,'San pham'!$A$2:$G$51,5,FALSE))</x:f>
      </x:c>
      <x:c r="L37" s="18" t="n">
        <x:f>IF(C37="Ban",I37-(E37*K37),0)</x:f>
        <x:v>0</x:v>
      </x:c>
      <x:c r="M37" s="12"/>
    </x:row>
    <x:row r="38" ht="22" customHeight="1">
      <x:c r="A38" s="27"/>
      <x:c r="B38" s="12"/>
      <x:c r="C38" s="12"/>
      <x:c r="D38" s="12"/>
      <x:c r="E38" s="15"/>
      <x:c r="F38" s="18"/>
      <x:c r="G38" s="18"/>
      <x:c r="H38" s="18"/>
      <x:c r="I38" s="18" t="str">
        <x:f>IF(OR(C38="",E38="",F38=""),"",E38*F38)</x:f>
      </x:c>
      <x:c r="J38" s="18" t="n">
        <x:f>IF(C38="Ban",MAX(I38-H38,0),0)</x:f>
        <x:v>0</x:v>
      </x:c>
      <x:c r="K38" s="18" t="str">
        <x:f>IF(D38="","",VLOOKUP(D38,'San pham'!$A$2:$G$51,5,FALSE))</x:f>
      </x:c>
      <x:c r="L38" s="18" t="n">
        <x:f>IF(C38="Ban",I38-(E38*K38),0)</x:f>
        <x:v>0</x:v>
      </x:c>
      <x:c r="M38" s="12"/>
    </x:row>
    <x:row r="39" ht="22" customHeight="1">
      <x:c r="A39" s="27"/>
      <x:c r="B39" s="12"/>
      <x:c r="C39" s="12"/>
      <x:c r="D39" s="12"/>
      <x:c r="E39" s="15"/>
      <x:c r="F39" s="18"/>
      <x:c r="G39" s="18"/>
      <x:c r="H39" s="18"/>
      <x:c r="I39" s="18" t="str">
        <x:f>IF(OR(C39="",E39="",F39=""),"",E39*F39)</x:f>
      </x:c>
      <x:c r="J39" s="18" t="n">
        <x:f>IF(C39="Ban",MAX(I39-H39,0),0)</x:f>
        <x:v>0</x:v>
      </x:c>
      <x:c r="K39" s="18" t="str">
        <x:f>IF(D39="","",VLOOKUP(D39,'San pham'!$A$2:$G$51,5,FALSE))</x:f>
      </x:c>
      <x:c r="L39" s="18" t="n">
        <x:f>IF(C39="Ban",I39-(E39*K39),0)</x:f>
        <x:v>0</x:v>
      </x:c>
      <x:c r="M39" s="12"/>
    </x:row>
    <x:row r="40" ht="22" customHeight="1">
      <x:c r="A40" s="27"/>
      <x:c r="B40" s="12"/>
      <x:c r="C40" s="12"/>
      <x:c r="D40" s="12"/>
      <x:c r="E40" s="15"/>
      <x:c r="F40" s="18"/>
      <x:c r="G40" s="18"/>
      <x:c r="H40" s="18"/>
      <x:c r="I40" s="18" t="str">
        <x:f>IF(OR(C40="",E40="",F40=""),"",E40*F40)</x:f>
      </x:c>
      <x:c r="J40" s="18" t="n">
        <x:f>IF(C40="Ban",MAX(I40-H40,0),0)</x:f>
        <x:v>0</x:v>
      </x:c>
      <x:c r="K40" s="18" t="str">
        <x:f>IF(D40="","",VLOOKUP(D40,'San pham'!$A$2:$G$51,5,FALSE))</x:f>
      </x:c>
      <x:c r="L40" s="18" t="n">
        <x:f>IF(C40="Ban",I40-(E40*K40),0)</x:f>
        <x:v>0</x:v>
      </x:c>
      <x:c r="M40" s="12"/>
    </x:row>
    <x:row r="41" ht="22" customHeight="1">
      <x:c r="A41" s="27"/>
      <x:c r="B41" s="12"/>
      <x:c r="C41" s="12"/>
      <x:c r="D41" s="12"/>
      <x:c r="E41" s="15"/>
      <x:c r="F41" s="18"/>
      <x:c r="G41" s="18"/>
      <x:c r="H41" s="18"/>
      <x:c r="I41" s="18" t="str">
        <x:f>IF(OR(C41="",E41="",F41=""),"",E41*F41)</x:f>
      </x:c>
      <x:c r="J41" s="18" t="n">
        <x:f>IF(C41="Ban",MAX(I41-H41,0),0)</x:f>
        <x:v>0</x:v>
      </x:c>
      <x:c r="K41" s="18" t="str">
        <x:f>IF(D41="","",VLOOKUP(D41,'San pham'!$A$2:$G$51,5,FALSE))</x:f>
      </x:c>
      <x:c r="L41" s="18" t="n">
        <x:f>IF(C41="Ban",I41-(E41*K41),0)</x:f>
        <x:v>0</x:v>
      </x:c>
      <x:c r="M41" s="12"/>
    </x:row>
    <x:row r="42" ht="22" customHeight="1">
      <x:c r="A42" s="27"/>
      <x:c r="B42" s="12"/>
      <x:c r="C42" s="12"/>
      <x:c r="D42" s="12"/>
      <x:c r="E42" s="15"/>
      <x:c r="F42" s="18"/>
      <x:c r="G42" s="18"/>
      <x:c r="H42" s="18"/>
      <x:c r="I42" s="18" t="str">
        <x:f>IF(OR(C42="",E42="",F42=""),"",E42*F42)</x:f>
      </x:c>
      <x:c r="J42" s="18" t="n">
        <x:f>IF(C42="Ban",MAX(I42-H42,0),0)</x:f>
        <x:v>0</x:v>
      </x:c>
      <x:c r="K42" s="18" t="str">
        <x:f>IF(D42="","",VLOOKUP(D42,'San pham'!$A$2:$G$51,5,FALSE))</x:f>
      </x:c>
      <x:c r="L42" s="18" t="n">
        <x:f>IF(C42="Ban",I42-(E42*K42),0)</x:f>
        <x:v>0</x:v>
      </x:c>
      <x:c r="M42" s="12"/>
    </x:row>
    <x:row r="43" ht="22" customHeight="1">
      <x:c r="A43" s="27"/>
      <x:c r="B43" s="12"/>
      <x:c r="C43" s="12"/>
      <x:c r="D43" s="12"/>
      <x:c r="E43" s="15"/>
      <x:c r="F43" s="18"/>
      <x:c r="G43" s="18"/>
      <x:c r="H43" s="18"/>
      <x:c r="I43" s="18" t="str">
        <x:f>IF(OR(C43="",E43="",F43=""),"",E43*F43)</x:f>
      </x:c>
      <x:c r="J43" s="18" t="n">
        <x:f>IF(C43="Ban",MAX(I43-H43,0),0)</x:f>
        <x:v>0</x:v>
      </x:c>
      <x:c r="K43" s="18" t="str">
        <x:f>IF(D43="","",VLOOKUP(D43,'San pham'!$A$2:$G$51,5,FALSE))</x:f>
      </x:c>
      <x:c r="L43" s="18" t="n">
        <x:f>IF(C43="Ban",I43-(E43*K43),0)</x:f>
        <x:v>0</x:v>
      </x:c>
      <x:c r="M43" s="12"/>
    </x:row>
    <x:row r="44" ht="22" customHeight="1">
      <x:c r="A44" s="27"/>
      <x:c r="B44" s="12"/>
      <x:c r="C44" s="12"/>
      <x:c r="D44" s="12"/>
      <x:c r="E44" s="15"/>
      <x:c r="F44" s="18"/>
      <x:c r="G44" s="18"/>
      <x:c r="H44" s="18"/>
      <x:c r="I44" s="18" t="str">
        <x:f>IF(OR(C44="",E44="",F44=""),"",E44*F44)</x:f>
      </x:c>
      <x:c r="J44" s="18" t="n">
        <x:f>IF(C44="Ban",MAX(I44-H44,0),0)</x:f>
        <x:v>0</x:v>
      </x:c>
      <x:c r="K44" s="18" t="str">
        <x:f>IF(D44="","",VLOOKUP(D44,'San pham'!$A$2:$G$51,5,FALSE))</x:f>
      </x:c>
      <x:c r="L44" s="18" t="n">
        <x:f>IF(C44="Ban",I44-(E44*K44),0)</x:f>
        <x:v>0</x:v>
      </x:c>
      <x:c r="M44" s="12"/>
    </x:row>
    <x:row r="45" ht="22" customHeight="1">
      <x:c r="A45" s="27"/>
      <x:c r="B45" s="12"/>
      <x:c r="C45" s="12"/>
      <x:c r="D45" s="12"/>
      <x:c r="E45" s="15"/>
      <x:c r="F45" s="18"/>
      <x:c r="G45" s="18"/>
      <x:c r="H45" s="18"/>
      <x:c r="I45" s="18" t="str">
        <x:f>IF(OR(C45="",E45="",F45=""),"",E45*F45)</x:f>
      </x:c>
      <x:c r="J45" s="18" t="n">
        <x:f>IF(C45="Ban",MAX(I45-H45,0),0)</x:f>
        <x:v>0</x:v>
      </x:c>
      <x:c r="K45" s="18" t="str">
        <x:f>IF(D45="","",VLOOKUP(D45,'San pham'!$A$2:$G$51,5,FALSE))</x:f>
      </x:c>
      <x:c r="L45" s="18" t="n">
        <x:f>IF(C45="Ban",I45-(E45*K45),0)</x:f>
        <x:v>0</x:v>
      </x:c>
      <x:c r="M45" s="12"/>
    </x:row>
    <x:row r="46" ht="22" customHeight="1">
      <x:c r="A46" s="27"/>
      <x:c r="B46" s="12"/>
      <x:c r="C46" s="12"/>
      <x:c r="D46" s="12"/>
      <x:c r="E46" s="15"/>
      <x:c r="F46" s="18"/>
      <x:c r="G46" s="18"/>
      <x:c r="H46" s="18"/>
      <x:c r="I46" s="18" t="str">
        <x:f>IF(OR(C46="",E46="",F46=""),"",E46*F46)</x:f>
      </x:c>
      <x:c r="J46" s="18" t="n">
        <x:f>IF(C46="Ban",MAX(I46-H46,0),0)</x:f>
        <x:v>0</x:v>
      </x:c>
      <x:c r="K46" s="18" t="str">
        <x:f>IF(D46="","",VLOOKUP(D46,'San pham'!$A$2:$G$51,5,FALSE))</x:f>
      </x:c>
      <x:c r="L46" s="18" t="n">
        <x:f>IF(C46="Ban",I46-(E46*K46),0)</x:f>
        <x:v>0</x:v>
      </x:c>
      <x:c r="M46" s="12"/>
    </x:row>
    <x:row r="47" ht="22" customHeight="1">
      <x:c r="A47" s="27"/>
      <x:c r="B47" s="12"/>
      <x:c r="C47" s="12"/>
      <x:c r="D47" s="12"/>
      <x:c r="E47" s="15"/>
      <x:c r="F47" s="18"/>
      <x:c r="G47" s="18"/>
      <x:c r="H47" s="18"/>
      <x:c r="I47" s="18" t="str">
        <x:f>IF(OR(C47="",E47="",F47=""),"",E47*F47)</x:f>
      </x:c>
      <x:c r="J47" s="18" t="n">
        <x:f>IF(C47="Ban",MAX(I47-H47,0),0)</x:f>
        <x:v>0</x:v>
      </x:c>
      <x:c r="K47" s="18" t="str">
        <x:f>IF(D47="","",VLOOKUP(D47,'San pham'!$A$2:$G$51,5,FALSE))</x:f>
      </x:c>
      <x:c r="L47" s="18" t="n">
        <x:f>IF(C47="Ban",I47-(E47*K47),0)</x:f>
        <x:v>0</x:v>
      </x:c>
      <x:c r="M47" s="12"/>
    </x:row>
    <x:row r="48" ht="22" customHeight="1">
      <x:c r="A48" s="27"/>
      <x:c r="B48" s="12"/>
      <x:c r="C48" s="12"/>
      <x:c r="D48" s="12"/>
      <x:c r="E48" s="15"/>
      <x:c r="F48" s="18"/>
      <x:c r="G48" s="18"/>
      <x:c r="H48" s="18"/>
      <x:c r="I48" s="18" t="str">
        <x:f>IF(OR(C48="",E48="",F48=""),"",E48*F48)</x:f>
      </x:c>
      <x:c r="J48" s="18" t="n">
        <x:f>IF(C48="Ban",MAX(I48-H48,0),0)</x:f>
        <x:v>0</x:v>
      </x:c>
      <x:c r="K48" s="18" t="str">
        <x:f>IF(D48="","",VLOOKUP(D48,'San pham'!$A$2:$G$51,5,FALSE))</x:f>
      </x:c>
      <x:c r="L48" s="18" t="n">
        <x:f>IF(C48="Ban",I48-(E48*K48),0)</x:f>
        <x:v>0</x:v>
      </x:c>
      <x:c r="M48" s="12"/>
    </x:row>
    <x:row r="49" ht="22" customHeight="1">
      <x:c r="A49" s="27"/>
      <x:c r="B49" s="12"/>
      <x:c r="C49" s="12"/>
      <x:c r="D49" s="12"/>
      <x:c r="E49" s="15"/>
      <x:c r="F49" s="18"/>
      <x:c r="G49" s="18"/>
      <x:c r="H49" s="18"/>
      <x:c r="I49" s="18" t="str">
        <x:f>IF(OR(C49="",E49="",F49=""),"",E49*F49)</x:f>
      </x:c>
      <x:c r="J49" s="18" t="n">
        <x:f>IF(C49="Ban",MAX(I49-H49,0),0)</x:f>
        <x:v>0</x:v>
      </x:c>
      <x:c r="K49" s="18" t="str">
        <x:f>IF(D49="","",VLOOKUP(D49,'San pham'!$A$2:$G$51,5,FALSE))</x:f>
      </x:c>
      <x:c r="L49" s="18" t="n">
        <x:f>IF(C49="Ban",I49-(E49*K49),0)</x:f>
        <x:v>0</x:v>
      </x:c>
      <x:c r="M49" s="12"/>
    </x:row>
    <x:row r="50" ht="22" customHeight="1">
      <x:c r="A50" s="27"/>
      <x:c r="B50" s="12"/>
      <x:c r="C50" s="12"/>
      <x:c r="D50" s="12"/>
      <x:c r="E50" s="15"/>
      <x:c r="F50" s="18"/>
      <x:c r="G50" s="18"/>
      <x:c r="H50" s="18"/>
      <x:c r="I50" s="18" t="str">
        <x:f>IF(OR(C50="",E50="",F50=""),"",E50*F50)</x:f>
      </x:c>
      <x:c r="J50" s="18" t="n">
        <x:f>IF(C50="Ban",MAX(I50-H50,0),0)</x:f>
        <x:v>0</x:v>
      </x:c>
      <x:c r="K50" s="18" t="str">
        <x:f>IF(D50="","",VLOOKUP(D50,'San pham'!$A$2:$G$51,5,FALSE))</x:f>
      </x:c>
      <x:c r="L50" s="18" t="n">
        <x:f>IF(C50="Ban",I50-(E50*K50),0)</x:f>
        <x:v>0</x:v>
      </x:c>
      <x:c r="M50" s="12"/>
    </x:row>
    <x:row r="51" ht="22" customHeight="1">
      <x:c r="A51" s="27"/>
      <x:c r="B51" s="12"/>
      <x:c r="C51" s="12"/>
      <x:c r="D51" s="12"/>
      <x:c r="E51" s="15"/>
      <x:c r="F51" s="18"/>
      <x:c r="G51" s="18"/>
      <x:c r="H51" s="18"/>
      <x:c r="I51" s="18" t="str">
        <x:f>IF(OR(C51="",E51="",F51=""),"",E51*F51)</x:f>
      </x:c>
      <x:c r="J51" s="18" t="n">
        <x:f>IF(C51="Ban",MAX(I51-H51,0),0)</x:f>
        <x:v>0</x:v>
      </x:c>
      <x:c r="K51" s="18" t="str">
        <x:f>IF(D51="","",VLOOKUP(D51,'San pham'!$A$2:$G$51,5,FALSE))</x:f>
      </x:c>
      <x:c r="L51" s="18" t="n">
        <x:f>IF(C51="Ban",I51-(E51*K51),0)</x:f>
        <x:v>0</x:v>
      </x:c>
      <x:c r="M51" s="12"/>
    </x:row>
    <x:row r="52" ht="22" customHeight="1">
      <x:c r="A52" s="27"/>
      <x:c r="B52" s="12"/>
      <x:c r="C52" s="12"/>
      <x:c r="D52" s="12"/>
      <x:c r="E52" s="15"/>
      <x:c r="F52" s="18"/>
      <x:c r="G52" s="18"/>
      <x:c r="H52" s="18"/>
      <x:c r="I52" s="18" t="str">
        <x:f>IF(OR(C52="",E52="",F52=""),"",E52*F52)</x:f>
      </x:c>
      <x:c r="J52" s="18" t="n">
        <x:f>IF(C52="Ban",MAX(I52-H52,0),0)</x:f>
        <x:v>0</x:v>
      </x:c>
      <x:c r="K52" s="18" t="str">
        <x:f>IF(D52="","",VLOOKUP(D52,'San pham'!$A$2:$G$51,5,FALSE))</x:f>
      </x:c>
      <x:c r="L52" s="18" t="n">
        <x:f>IF(C52="Ban",I52-(E52*K52),0)</x:f>
        <x:v>0</x:v>
      </x:c>
      <x:c r="M52" s="12"/>
    </x:row>
    <x:row r="53" ht="22" customHeight="1">
      <x:c r="A53" s="27"/>
      <x:c r="B53" s="12"/>
      <x:c r="C53" s="12"/>
      <x:c r="D53" s="12"/>
      <x:c r="E53" s="15"/>
      <x:c r="F53" s="18"/>
      <x:c r="G53" s="18"/>
      <x:c r="H53" s="18"/>
      <x:c r="I53" s="18" t="str">
        <x:f>IF(OR(C53="",E53="",F53=""),"",E53*F53)</x:f>
      </x:c>
      <x:c r="J53" s="18" t="n">
        <x:f>IF(C53="Ban",MAX(I53-H53,0),0)</x:f>
        <x:v>0</x:v>
      </x:c>
      <x:c r="K53" s="18" t="str">
        <x:f>IF(D53="","",VLOOKUP(D53,'San pham'!$A$2:$G$51,5,FALSE))</x:f>
      </x:c>
      <x:c r="L53" s="18" t="n">
        <x:f>IF(C53="Ban",I53-(E53*K53),0)</x:f>
        <x:v>0</x:v>
      </x:c>
      <x:c r="M53" s="12"/>
    </x:row>
    <x:row r="54" ht="22" customHeight="1">
      <x:c r="A54" s="27"/>
      <x:c r="B54" s="12"/>
      <x:c r="C54" s="12"/>
      <x:c r="D54" s="12"/>
      <x:c r="E54" s="15"/>
      <x:c r="F54" s="18"/>
      <x:c r="G54" s="18"/>
      <x:c r="H54" s="18"/>
      <x:c r="I54" s="18" t="str">
        <x:f>IF(OR(C54="",E54="",F54=""),"",E54*F54)</x:f>
      </x:c>
      <x:c r="J54" s="18" t="n">
        <x:f>IF(C54="Ban",MAX(I54-H54,0),0)</x:f>
        <x:v>0</x:v>
      </x:c>
      <x:c r="K54" s="18" t="str">
        <x:f>IF(D54="","",VLOOKUP(D54,'San pham'!$A$2:$G$51,5,FALSE))</x:f>
      </x:c>
      <x:c r="L54" s="18" t="n">
        <x:f>IF(C54="Ban",I54-(E54*K54),0)</x:f>
        <x:v>0</x:v>
      </x:c>
      <x:c r="M54" s="12"/>
    </x:row>
    <x:row r="55" ht="22" customHeight="1">
      <x:c r="A55" s="27"/>
      <x:c r="B55" s="12"/>
      <x:c r="C55" s="12"/>
      <x:c r="D55" s="12"/>
      <x:c r="E55" s="15"/>
      <x:c r="F55" s="18"/>
      <x:c r="G55" s="18"/>
      <x:c r="H55" s="18"/>
      <x:c r="I55" s="18" t="str">
        <x:f>IF(OR(C55="",E55="",F55=""),"",E55*F55)</x:f>
      </x:c>
      <x:c r="J55" s="18" t="n">
        <x:f>IF(C55="Ban",MAX(I55-H55,0),0)</x:f>
        <x:v>0</x:v>
      </x:c>
      <x:c r="K55" s="18" t="str">
        <x:f>IF(D55="","",VLOOKUP(D55,'San pham'!$A$2:$G$51,5,FALSE))</x:f>
      </x:c>
      <x:c r="L55" s="18" t="n">
        <x:f>IF(C55="Ban",I55-(E55*K55),0)</x:f>
        <x:v>0</x:v>
      </x:c>
      <x:c r="M55" s="12"/>
    </x:row>
    <x:row r="56" ht="22" customHeight="1">
      <x:c r="A56" s="27"/>
      <x:c r="B56" s="12"/>
      <x:c r="C56" s="12"/>
      <x:c r="D56" s="12"/>
      <x:c r="E56" s="15"/>
      <x:c r="F56" s="18"/>
      <x:c r="G56" s="18"/>
      <x:c r="H56" s="18"/>
      <x:c r="I56" s="18" t="str">
        <x:f>IF(OR(C56="",E56="",F56=""),"",E56*F56)</x:f>
      </x:c>
      <x:c r="J56" s="18" t="n">
        <x:f>IF(C56="Ban",MAX(I56-H56,0),0)</x:f>
        <x:v>0</x:v>
      </x:c>
      <x:c r="K56" s="18" t="str">
        <x:f>IF(D56="","",VLOOKUP(D56,'San pham'!$A$2:$G$51,5,FALSE))</x:f>
      </x:c>
      <x:c r="L56" s="18" t="n">
        <x:f>IF(C56="Ban",I56-(E56*K56),0)</x:f>
        <x:v>0</x:v>
      </x:c>
      <x:c r="M56" s="12"/>
    </x:row>
    <x:row r="57" ht="22" customHeight="1">
      <x:c r="A57" s="27"/>
      <x:c r="B57" s="12"/>
      <x:c r="C57" s="12"/>
      <x:c r="D57" s="12"/>
      <x:c r="E57" s="15"/>
      <x:c r="F57" s="18"/>
      <x:c r="G57" s="18"/>
      <x:c r="H57" s="18"/>
      <x:c r="I57" s="18" t="str">
        <x:f>IF(OR(C57="",E57="",F57=""),"",E57*F57)</x:f>
      </x:c>
      <x:c r="J57" s="18" t="n">
        <x:f>IF(C57="Ban",MAX(I57-H57,0),0)</x:f>
        <x:v>0</x:v>
      </x:c>
      <x:c r="K57" s="18" t="str">
        <x:f>IF(D57="","",VLOOKUP(D57,'San pham'!$A$2:$G$51,5,FALSE))</x:f>
      </x:c>
      <x:c r="L57" s="18" t="n">
        <x:f>IF(C57="Ban",I57-(E57*K57),0)</x:f>
        <x:v>0</x:v>
      </x:c>
      <x:c r="M57" s="12"/>
    </x:row>
    <x:row r="58" ht="22" customHeight="1">
      <x:c r="A58" s="27"/>
      <x:c r="B58" s="12"/>
      <x:c r="C58" s="12"/>
      <x:c r="D58" s="12"/>
      <x:c r="E58" s="15"/>
      <x:c r="F58" s="18"/>
      <x:c r="G58" s="18"/>
      <x:c r="H58" s="18"/>
      <x:c r="I58" s="18" t="str">
        <x:f>IF(OR(C58="",E58="",F58=""),"",E58*F58)</x:f>
      </x:c>
      <x:c r="J58" s="18" t="n">
        <x:f>IF(C58="Ban",MAX(I58-H58,0),0)</x:f>
        <x:v>0</x:v>
      </x:c>
      <x:c r="K58" s="18" t="str">
        <x:f>IF(D58="","",VLOOKUP(D58,'San pham'!$A$2:$G$51,5,FALSE))</x:f>
      </x:c>
      <x:c r="L58" s="18" t="n">
        <x:f>IF(C58="Ban",I58-(E58*K58),0)</x:f>
        <x:v>0</x:v>
      </x:c>
      <x:c r="M58" s="12"/>
    </x:row>
    <x:row r="59" ht="22" customHeight="1">
      <x:c r="A59" s="27"/>
      <x:c r="B59" s="12"/>
      <x:c r="C59" s="12"/>
      <x:c r="D59" s="12"/>
      <x:c r="E59" s="15"/>
      <x:c r="F59" s="18"/>
      <x:c r="G59" s="18"/>
      <x:c r="H59" s="18"/>
      <x:c r="I59" s="18" t="str">
        <x:f>IF(OR(C59="",E59="",F59=""),"",E59*F59)</x:f>
      </x:c>
      <x:c r="J59" s="18" t="n">
        <x:f>IF(C59="Ban",MAX(I59-H59,0),0)</x:f>
        <x:v>0</x:v>
      </x:c>
      <x:c r="K59" s="18" t="str">
        <x:f>IF(D59="","",VLOOKUP(D59,'San pham'!$A$2:$G$51,5,FALSE))</x:f>
      </x:c>
      <x:c r="L59" s="18" t="n">
        <x:f>IF(C59="Ban",I59-(E59*K59),0)</x:f>
        <x:v>0</x:v>
      </x:c>
      <x:c r="M59" s="12"/>
    </x:row>
    <x:row r="60" ht="22" customHeight="1">
      <x:c r="A60" s="27"/>
      <x:c r="B60" s="12"/>
      <x:c r="C60" s="12"/>
      <x:c r="D60" s="12"/>
      <x:c r="E60" s="15"/>
      <x:c r="F60" s="18"/>
      <x:c r="G60" s="18"/>
      <x:c r="H60" s="18"/>
      <x:c r="I60" s="18" t="str">
        <x:f>IF(OR(C60="",E60="",F60=""),"",E60*F60)</x:f>
      </x:c>
      <x:c r="J60" s="18" t="n">
        <x:f>IF(C60="Ban",MAX(I60-H60,0),0)</x:f>
        <x:v>0</x:v>
      </x:c>
      <x:c r="K60" s="18" t="str">
        <x:f>IF(D60="","",VLOOKUP(D60,'San pham'!$A$2:$G$51,5,FALSE))</x:f>
      </x:c>
      <x:c r="L60" s="18" t="n">
        <x:f>IF(C60="Ban",I60-(E60*K60),0)</x:f>
        <x:v>0</x:v>
      </x:c>
      <x:c r="M60" s="12"/>
    </x:row>
    <x:row r="61" ht="22" customHeight="1">
      <x:c r="A61" s="27"/>
      <x:c r="B61" s="12"/>
      <x:c r="C61" s="12"/>
      <x:c r="D61" s="12"/>
      <x:c r="E61" s="15"/>
      <x:c r="F61" s="18"/>
      <x:c r="G61" s="18"/>
      <x:c r="H61" s="18"/>
      <x:c r="I61" s="18" t="str">
        <x:f>IF(OR(C61="",E61="",F61=""),"",E61*F61)</x:f>
      </x:c>
      <x:c r="J61" s="18" t="n">
        <x:f>IF(C61="Ban",MAX(I61-H61,0),0)</x:f>
        <x:v>0</x:v>
      </x:c>
      <x:c r="K61" s="18" t="str">
        <x:f>IF(D61="","",VLOOKUP(D61,'San pham'!$A$2:$G$51,5,FALSE))</x:f>
      </x:c>
      <x:c r="L61" s="18" t="n">
        <x:f>IF(C61="Ban",I61-(E61*K61),0)</x:f>
        <x:v>0</x:v>
      </x:c>
      <x:c r="M61" s="12"/>
    </x:row>
    <x:row r="62" ht="22" customHeight="1">
      <x:c r="A62" s="27"/>
      <x:c r="B62" s="12"/>
      <x:c r="C62" s="12"/>
      <x:c r="D62" s="12"/>
      <x:c r="E62" s="15"/>
      <x:c r="F62" s="18"/>
      <x:c r="G62" s="18"/>
      <x:c r="H62" s="18"/>
      <x:c r="I62" s="18" t="str">
        <x:f>IF(OR(C62="",E62="",F62=""),"",E62*F62)</x:f>
      </x:c>
      <x:c r="J62" s="18" t="n">
        <x:f>IF(C62="Ban",MAX(I62-H62,0),0)</x:f>
        <x:v>0</x:v>
      </x:c>
      <x:c r="K62" s="18" t="str">
        <x:f>IF(D62="","",VLOOKUP(D62,'San pham'!$A$2:$G$51,5,FALSE))</x:f>
      </x:c>
      <x:c r="L62" s="18" t="n">
        <x:f>IF(C62="Ban",I62-(E62*K62),0)</x:f>
        <x:v>0</x:v>
      </x:c>
      <x:c r="M62" s="12"/>
    </x:row>
    <x:row r="63" ht="22" customHeight="1">
      <x:c r="A63" s="27"/>
      <x:c r="B63" s="12"/>
      <x:c r="C63" s="12"/>
      <x:c r="D63" s="12"/>
      <x:c r="E63" s="15"/>
      <x:c r="F63" s="18"/>
      <x:c r="G63" s="18"/>
      <x:c r="H63" s="18"/>
      <x:c r="I63" s="18" t="str">
        <x:f>IF(OR(C63="",E63="",F63=""),"",E63*F63)</x:f>
      </x:c>
      <x:c r="J63" s="18" t="n">
        <x:f>IF(C63="Ban",MAX(I63-H63,0),0)</x:f>
        <x:v>0</x:v>
      </x:c>
      <x:c r="K63" s="18" t="str">
        <x:f>IF(D63="","",VLOOKUP(D63,'San pham'!$A$2:$G$51,5,FALSE))</x:f>
      </x:c>
      <x:c r="L63" s="18" t="n">
        <x:f>IF(C63="Ban",I63-(E63*K63),0)</x:f>
        <x:v>0</x:v>
      </x:c>
      <x:c r="M63" s="12"/>
    </x:row>
    <x:row r="64" ht="22" customHeight="1">
      <x:c r="A64" s="27"/>
      <x:c r="B64" s="12"/>
      <x:c r="C64" s="12"/>
      <x:c r="D64" s="12"/>
      <x:c r="E64" s="15"/>
      <x:c r="F64" s="18"/>
      <x:c r="G64" s="18"/>
      <x:c r="H64" s="18"/>
      <x:c r="I64" s="18" t="str">
        <x:f>IF(OR(C64="",E64="",F64=""),"",E64*F64)</x:f>
      </x:c>
      <x:c r="J64" s="18" t="n">
        <x:f>IF(C64="Ban",MAX(I64-H64,0),0)</x:f>
        <x:v>0</x:v>
      </x:c>
      <x:c r="K64" s="18" t="str">
        <x:f>IF(D64="","",VLOOKUP(D64,'San pham'!$A$2:$G$51,5,FALSE))</x:f>
      </x:c>
      <x:c r="L64" s="18" t="n">
        <x:f>IF(C64="Ban",I64-(E64*K64),0)</x:f>
        <x:v>0</x:v>
      </x:c>
      <x:c r="M64" s="12"/>
    </x:row>
    <x:row r="65" ht="22" customHeight="1">
      <x:c r="A65" s="27"/>
      <x:c r="B65" s="12"/>
      <x:c r="C65" s="12"/>
      <x:c r="D65" s="12"/>
      <x:c r="E65" s="15"/>
      <x:c r="F65" s="18"/>
      <x:c r="G65" s="18"/>
      <x:c r="H65" s="18"/>
      <x:c r="I65" s="18" t="str">
        <x:f>IF(OR(C65="",E65="",F65=""),"",E65*F65)</x:f>
      </x:c>
      <x:c r="J65" s="18" t="n">
        <x:f>IF(C65="Ban",MAX(I65-H65,0),0)</x:f>
        <x:v>0</x:v>
      </x:c>
      <x:c r="K65" s="18" t="str">
        <x:f>IF(D65="","",VLOOKUP(D65,'San pham'!$A$2:$G$51,5,FALSE))</x:f>
      </x:c>
      <x:c r="L65" s="18" t="n">
        <x:f>IF(C65="Ban",I65-(E65*K65),0)</x:f>
        <x:v>0</x:v>
      </x:c>
      <x:c r="M65" s="12"/>
    </x:row>
    <x:row r="66" ht="22" customHeight="1">
      <x:c r="A66" s="27"/>
      <x:c r="B66" s="12"/>
      <x:c r="C66" s="12"/>
      <x:c r="D66" s="12"/>
      <x:c r="E66" s="15"/>
      <x:c r="F66" s="18"/>
      <x:c r="G66" s="18"/>
      <x:c r="H66" s="18"/>
      <x:c r="I66" s="18" t="str">
        <x:f>IF(OR(C66="",E66="",F66=""),"",E66*F66)</x:f>
      </x:c>
      <x:c r="J66" s="18" t="n">
        <x:f>IF(C66="Ban",MAX(I66-H66,0),0)</x:f>
        <x:v>0</x:v>
      </x:c>
      <x:c r="K66" s="18" t="str">
        <x:f>IF(D66="","",VLOOKUP(D66,'San pham'!$A$2:$G$51,5,FALSE))</x:f>
      </x:c>
      <x:c r="L66" s="18" t="n">
        <x:f>IF(C66="Ban",I66-(E66*K66),0)</x:f>
        <x:v>0</x:v>
      </x:c>
      <x:c r="M66" s="12"/>
    </x:row>
    <x:row r="67" ht="22" customHeight="1">
      <x:c r="A67" s="27"/>
      <x:c r="B67" s="12"/>
      <x:c r="C67" s="12"/>
      <x:c r="D67" s="12"/>
      <x:c r="E67" s="15"/>
      <x:c r="F67" s="18"/>
      <x:c r="G67" s="18"/>
      <x:c r="H67" s="18"/>
      <x:c r="I67" s="18" t="str">
        <x:f>IF(OR(C67="",E67="",F67=""),"",E67*F67)</x:f>
      </x:c>
      <x:c r="J67" s="18" t="n">
        <x:f>IF(C67="Ban",MAX(I67-H67,0),0)</x:f>
        <x:v>0</x:v>
      </x:c>
      <x:c r="K67" s="18" t="str">
        <x:f>IF(D67="","",VLOOKUP(D67,'San pham'!$A$2:$G$51,5,FALSE))</x:f>
      </x:c>
      <x:c r="L67" s="18" t="n">
        <x:f>IF(C67="Ban",I67-(E67*K67),0)</x:f>
        <x:v>0</x:v>
      </x:c>
      <x:c r="M67" s="12"/>
    </x:row>
    <x:row r="68" ht="22" customHeight="1">
      <x:c r="A68" s="27"/>
      <x:c r="B68" s="12"/>
      <x:c r="C68" s="12"/>
      <x:c r="D68" s="12"/>
      <x:c r="E68" s="15"/>
      <x:c r="F68" s="18"/>
      <x:c r="G68" s="18"/>
      <x:c r="H68" s="18"/>
      <x:c r="I68" s="18" t="str">
        <x:f>IF(OR(C68="",E68="",F68=""),"",E68*F68)</x:f>
      </x:c>
      <x:c r="J68" s="18" t="n">
        <x:f>IF(C68="Ban",MAX(I68-H68,0),0)</x:f>
        <x:v>0</x:v>
      </x:c>
      <x:c r="K68" s="18" t="str">
        <x:f>IF(D68="","",VLOOKUP(D68,'San pham'!$A$2:$G$51,5,FALSE))</x:f>
      </x:c>
      <x:c r="L68" s="18" t="n">
        <x:f>IF(C68="Ban",I68-(E68*K68),0)</x:f>
        <x:v>0</x:v>
      </x:c>
      <x:c r="M68" s="12"/>
    </x:row>
    <x:row r="69" ht="22" customHeight="1">
      <x:c r="A69" s="27"/>
      <x:c r="B69" s="12"/>
      <x:c r="C69" s="12"/>
      <x:c r="D69" s="12"/>
      <x:c r="E69" s="15"/>
      <x:c r="F69" s="18"/>
      <x:c r="G69" s="18"/>
      <x:c r="H69" s="18"/>
      <x:c r="I69" s="18" t="str">
        <x:f>IF(OR(C69="",E69="",F69=""),"",E69*F69)</x:f>
      </x:c>
      <x:c r="J69" s="18" t="n">
        <x:f>IF(C69="Ban",MAX(I69-H69,0),0)</x:f>
        <x:v>0</x:v>
      </x:c>
      <x:c r="K69" s="18" t="str">
        <x:f>IF(D69="","",VLOOKUP(D69,'San pham'!$A$2:$G$51,5,FALSE))</x:f>
      </x:c>
      <x:c r="L69" s="18" t="n">
        <x:f>IF(C69="Ban",I69-(E69*K69),0)</x:f>
        <x:v>0</x:v>
      </x:c>
      <x:c r="M69" s="12"/>
    </x:row>
    <x:row r="70" ht="22" customHeight="1">
      <x:c r="A70" s="27"/>
      <x:c r="B70" s="12"/>
      <x:c r="C70" s="12"/>
      <x:c r="D70" s="12"/>
      <x:c r="E70" s="15"/>
      <x:c r="F70" s="18"/>
      <x:c r="G70" s="18"/>
      <x:c r="H70" s="18"/>
      <x:c r="I70" s="18" t="str">
        <x:f>IF(OR(C70="",E70="",F70=""),"",E70*F70)</x:f>
      </x:c>
      <x:c r="J70" s="18" t="n">
        <x:f>IF(C70="Ban",MAX(I70-H70,0),0)</x:f>
        <x:v>0</x:v>
      </x:c>
      <x:c r="K70" s="18" t="str">
        <x:f>IF(D70="","",VLOOKUP(D70,'San pham'!$A$2:$G$51,5,FALSE))</x:f>
      </x:c>
      <x:c r="L70" s="18" t="n">
        <x:f>IF(C70="Ban",I70-(E70*K70),0)</x:f>
        <x:v>0</x:v>
      </x:c>
      <x:c r="M70" s="12"/>
    </x:row>
    <x:row r="71" ht="22" customHeight="1">
      <x:c r="A71" s="27"/>
      <x:c r="B71" s="12"/>
      <x:c r="C71" s="12"/>
      <x:c r="D71" s="12"/>
      <x:c r="E71" s="15"/>
      <x:c r="F71" s="18"/>
      <x:c r="G71" s="18"/>
      <x:c r="H71" s="18"/>
      <x:c r="I71" s="18" t="str">
        <x:f>IF(OR(C71="",E71="",F71=""),"",E71*F71)</x:f>
      </x:c>
      <x:c r="J71" s="18" t="n">
        <x:f>IF(C71="Ban",MAX(I71-H71,0),0)</x:f>
        <x:v>0</x:v>
      </x:c>
      <x:c r="K71" s="18" t="str">
        <x:f>IF(D71="","",VLOOKUP(D71,'San pham'!$A$2:$G$51,5,FALSE))</x:f>
      </x:c>
      <x:c r="L71" s="18" t="n">
        <x:f>IF(C71="Ban",I71-(E71*K71),0)</x:f>
        <x:v>0</x:v>
      </x:c>
      <x:c r="M71" s="12"/>
    </x:row>
    <x:row r="72" ht="22" customHeight="1">
      <x:c r="A72" s="27"/>
      <x:c r="B72" s="12"/>
      <x:c r="C72" s="12"/>
      <x:c r="D72" s="12"/>
      <x:c r="E72" s="15"/>
      <x:c r="F72" s="18"/>
      <x:c r="G72" s="18"/>
      <x:c r="H72" s="18"/>
      <x:c r="I72" s="18" t="str">
        <x:f>IF(OR(C72="",E72="",F72=""),"",E72*F72)</x:f>
      </x:c>
      <x:c r="J72" s="18" t="n">
        <x:f>IF(C72="Ban",MAX(I72-H72,0),0)</x:f>
        <x:v>0</x:v>
      </x:c>
      <x:c r="K72" s="18" t="str">
        <x:f>IF(D72="","",VLOOKUP(D72,'San pham'!$A$2:$G$51,5,FALSE))</x:f>
      </x:c>
      <x:c r="L72" s="18" t="n">
        <x:f>IF(C72="Ban",I72-(E72*K72),0)</x:f>
        <x:v>0</x:v>
      </x:c>
      <x:c r="M72" s="12"/>
    </x:row>
    <x:row r="73" ht="22" customHeight="1">
      <x:c r="A73" s="27"/>
      <x:c r="B73" s="12"/>
      <x:c r="C73" s="12"/>
      <x:c r="D73" s="12"/>
      <x:c r="E73" s="15"/>
      <x:c r="F73" s="18"/>
      <x:c r="G73" s="18"/>
      <x:c r="H73" s="18"/>
      <x:c r="I73" s="18" t="str">
        <x:f>IF(OR(C73="",E73="",F73=""),"",E73*F73)</x:f>
      </x:c>
      <x:c r="J73" s="18" t="n">
        <x:f>IF(C73="Ban",MAX(I73-H73,0),0)</x:f>
        <x:v>0</x:v>
      </x:c>
      <x:c r="K73" s="18" t="str">
        <x:f>IF(D73="","",VLOOKUP(D73,'San pham'!$A$2:$G$51,5,FALSE))</x:f>
      </x:c>
      <x:c r="L73" s="18" t="n">
        <x:f>IF(C73="Ban",I73-(E73*K73),0)</x:f>
        <x:v>0</x:v>
      </x:c>
      <x:c r="M73" s="12"/>
    </x:row>
    <x:row r="74" ht="22" customHeight="1">
      <x:c r="A74" s="27"/>
      <x:c r="B74" s="12"/>
      <x:c r="C74" s="12"/>
      <x:c r="D74" s="12"/>
      <x:c r="E74" s="15"/>
      <x:c r="F74" s="18"/>
      <x:c r="G74" s="18"/>
      <x:c r="H74" s="18"/>
      <x:c r="I74" s="18" t="str">
        <x:f>IF(OR(C74="",E74="",F74=""),"",E74*F74)</x:f>
      </x:c>
      <x:c r="J74" s="18" t="n">
        <x:f>IF(C74="Ban",MAX(I74-H74,0),0)</x:f>
        <x:v>0</x:v>
      </x:c>
      <x:c r="K74" s="18" t="str">
        <x:f>IF(D74="","",VLOOKUP(D74,'San pham'!$A$2:$G$51,5,FALSE))</x:f>
      </x:c>
      <x:c r="L74" s="18" t="n">
        <x:f>IF(C74="Ban",I74-(E74*K74),0)</x:f>
        <x:v>0</x:v>
      </x:c>
      <x:c r="M74" s="12"/>
    </x:row>
    <x:row r="75" ht="22" customHeight="1">
      <x:c r="A75" s="27"/>
      <x:c r="B75" s="12"/>
      <x:c r="C75" s="12"/>
      <x:c r="D75" s="12"/>
      <x:c r="E75" s="15"/>
      <x:c r="F75" s="18"/>
      <x:c r="G75" s="18"/>
      <x:c r="H75" s="18"/>
      <x:c r="I75" s="18" t="str">
        <x:f>IF(OR(C75="",E75="",F75=""),"",E75*F75)</x:f>
      </x:c>
      <x:c r="J75" s="18" t="n">
        <x:f>IF(C75="Ban",MAX(I75-H75,0),0)</x:f>
        <x:v>0</x:v>
      </x:c>
      <x:c r="K75" s="18" t="str">
        <x:f>IF(D75="","",VLOOKUP(D75,'San pham'!$A$2:$G$51,5,FALSE))</x:f>
      </x:c>
      <x:c r="L75" s="18" t="n">
        <x:f>IF(C75="Ban",I75-(E75*K75),0)</x:f>
        <x:v>0</x:v>
      </x:c>
      <x:c r="M75" s="12"/>
    </x:row>
    <x:row r="76" ht="22" customHeight="1">
      <x:c r="A76" s="27"/>
      <x:c r="B76" s="12"/>
      <x:c r="C76" s="12"/>
      <x:c r="D76" s="12"/>
      <x:c r="E76" s="15"/>
      <x:c r="F76" s="18"/>
      <x:c r="G76" s="18"/>
      <x:c r="H76" s="18"/>
      <x:c r="I76" s="18" t="str">
        <x:f>IF(OR(C76="",E76="",F76=""),"",E76*F76)</x:f>
      </x:c>
      <x:c r="J76" s="18" t="n">
        <x:f>IF(C76="Ban",MAX(I76-H76,0),0)</x:f>
        <x:v>0</x:v>
      </x:c>
      <x:c r="K76" s="18" t="str">
        <x:f>IF(D76="","",VLOOKUP(D76,'San pham'!$A$2:$G$51,5,FALSE))</x:f>
      </x:c>
      <x:c r="L76" s="18" t="n">
        <x:f>IF(C76="Ban",I76-(E76*K76),0)</x:f>
        <x:v>0</x:v>
      </x:c>
      <x:c r="M76" s="12"/>
    </x:row>
    <x:row r="77" ht="22" customHeight="1">
      <x:c r="A77" s="27"/>
      <x:c r="B77" s="12"/>
      <x:c r="C77" s="12"/>
      <x:c r="D77" s="12"/>
      <x:c r="E77" s="15"/>
      <x:c r="F77" s="18"/>
      <x:c r="G77" s="18"/>
      <x:c r="H77" s="18"/>
      <x:c r="I77" s="18" t="str">
        <x:f>IF(OR(C77="",E77="",F77=""),"",E77*F77)</x:f>
      </x:c>
      <x:c r="J77" s="18" t="n">
        <x:f>IF(C77="Ban",MAX(I77-H77,0),0)</x:f>
        <x:v>0</x:v>
      </x:c>
      <x:c r="K77" s="18" t="str">
        <x:f>IF(D77="","",VLOOKUP(D77,'San pham'!$A$2:$G$51,5,FALSE))</x:f>
      </x:c>
      <x:c r="L77" s="18" t="n">
        <x:f>IF(C77="Ban",I77-(E77*K77),0)</x:f>
        <x:v>0</x:v>
      </x:c>
      <x:c r="M77" s="12"/>
    </x:row>
    <x:row r="78" ht="22" customHeight="1">
      <x:c r="A78" s="27"/>
      <x:c r="B78" s="12"/>
      <x:c r="C78" s="12"/>
      <x:c r="D78" s="12"/>
      <x:c r="E78" s="15"/>
      <x:c r="F78" s="18"/>
      <x:c r="G78" s="18"/>
      <x:c r="H78" s="18"/>
      <x:c r="I78" s="18" t="str">
        <x:f>IF(OR(C78="",E78="",F78=""),"",E78*F78)</x:f>
      </x:c>
      <x:c r="J78" s="18" t="n">
        <x:f>IF(C78="Ban",MAX(I78-H78,0),0)</x:f>
        <x:v>0</x:v>
      </x:c>
      <x:c r="K78" s="18" t="str">
        <x:f>IF(D78="","",VLOOKUP(D78,'San pham'!$A$2:$G$51,5,FALSE))</x:f>
      </x:c>
      <x:c r="L78" s="18" t="n">
        <x:f>IF(C78="Ban",I78-(E78*K78),0)</x:f>
        <x:v>0</x:v>
      </x:c>
      <x:c r="M78" s="12"/>
    </x:row>
    <x:row r="79" ht="22" customHeight="1">
      <x:c r="A79" s="27"/>
      <x:c r="B79" s="12"/>
      <x:c r="C79" s="12"/>
      <x:c r="D79" s="12"/>
      <x:c r="E79" s="15"/>
      <x:c r="F79" s="18"/>
      <x:c r="G79" s="18"/>
      <x:c r="H79" s="18"/>
      <x:c r="I79" s="18" t="str">
        <x:f>IF(OR(C79="",E79="",F79=""),"",E79*F79)</x:f>
      </x:c>
      <x:c r="J79" s="18" t="n">
        <x:f>IF(C79="Ban",MAX(I79-H79,0),0)</x:f>
        <x:v>0</x:v>
      </x:c>
      <x:c r="K79" s="18" t="str">
        <x:f>IF(D79="","",VLOOKUP(D79,'San pham'!$A$2:$G$51,5,FALSE))</x:f>
      </x:c>
      <x:c r="L79" s="18" t="n">
        <x:f>IF(C79="Ban",I79-(E79*K79),0)</x:f>
        <x:v>0</x:v>
      </x:c>
      <x:c r="M79" s="12"/>
    </x:row>
    <x:row r="80" ht="22" customHeight="1">
      <x:c r="A80" s="27"/>
      <x:c r="B80" s="12"/>
      <x:c r="C80" s="12"/>
      <x:c r="D80" s="12"/>
      <x:c r="E80" s="15"/>
      <x:c r="F80" s="18"/>
      <x:c r="G80" s="18"/>
      <x:c r="H80" s="18"/>
      <x:c r="I80" s="18" t="str">
        <x:f>IF(OR(C80="",E80="",F80=""),"",E80*F80)</x:f>
      </x:c>
      <x:c r="J80" s="18" t="n">
        <x:f>IF(C80="Ban",MAX(I80-H80,0),0)</x:f>
        <x:v>0</x:v>
      </x:c>
      <x:c r="K80" s="18" t="str">
        <x:f>IF(D80="","",VLOOKUP(D80,'San pham'!$A$2:$G$51,5,FALSE))</x:f>
      </x:c>
      <x:c r="L80" s="18" t="n">
        <x:f>IF(C80="Ban",I80-(E80*K80),0)</x:f>
        <x:v>0</x:v>
      </x:c>
      <x:c r="M80" s="12"/>
    </x:row>
    <x:row r="81" ht="22" customHeight="1">
      <x:c r="A81" s="27"/>
      <x:c r="B81" s="12"/>
      <x:c r="C81" s="12"/>
      <x:c r="D81" s="12"/>
      <x:c r="E81" s="15"/>
      <x:c r="F81" s="18"/>
      <x:c r="G81" s="18"/>
      <x:c r="H81" s="18"/>
      <x:c r="I81" s="18" t="str">
        <x:f>IF(OR(C81="",E81="",F81=""),"",E81*F81)</x:f>
      </x:c>
      <x:c r="J81" s="18" t="n">
        <x:f>IF(C81="Ban",MAX(I81-H81,0),0)</x:f>
        <x:v>0</x:v>
      </x:c>
      <x:c r="K81" s="18" t="str">
        <x:f>IF(D81="","",VLOOKUP(D81,'San pham'!$A$2:$G$51,5,FALSE))</x:f>
      </x:c>
      <x:c r="L81" s="18" t="n">
        <x:f>IF(C81="Ban",I81-(E81*K81),0)</x:f>
        <x:v>0</x:v>
      </x:c>
      <x:c r="M81" s="12"/>
    </x:row>
    <x:row r="82" ht="22" customHeight="1">
      <x:c r="A82" s="27"/>
      <x:c r="B82" s="12"/>
      <x:c r="C82" s="12"/>
      <x:c r="D82" s="12"/>
      <x:c r="E82" s="15"/>
      <x:c r="F82" s="18"/>
      <x:c r="G82" s="18"/>
      <x:c r="H82" s="18"/>
      <x:c r="I82" s="18" t="str">
        <x:f>IF(OR(C82="",E82="",F82=""),"",E82*F82)</x:f>
      </x:c>
      <x:c r="J82" s="18" t="n">
        <x:f>IF(C82="Ban",MAX(I82-H82,0),0)</x:f>
        <x:v>0</x:v>
      </x:c>
      <x:c r="K82" s="18" t="str">
        <x:f>IF(D82="","",VLOOKUP(D82,'San pham'!$A$2:$G$51,5,FALSE))</x:f>
      </x:c>
      <x:c r="L82" s="18" t="n">
        <x:f>IF(C82="Ban",I82-(E82*K82),0)</x:f>
        <x:v>0</x:v>
      </x:c>
      <x:c r="M82" s="12"/>
    </x:row>
    <x:row r="83" ht="22" customHeight="1">
      <x:c r="A83" s="27"/>
      <x:c r="B83" s="12"/>
      <x:c r="C83" s="12"/>
      <x:c r="D83" s="12"/>
      <x:c r="E83" s="15"/>
      <x:c r="F83" s="18"/>
      <x:c r="G83" s="18"/>
      <x:c r="H83" s="18"/>
      <x:c r="I83" s="18" t="str">
        <x:f>IF(OR(C83="",E83="",F83=""),"",E83*F83)</x:f>
      </x:c>
      <x:c r="J83" s="18" t="n">
        <x:f>IF(C83="Ban",MAX(I83-H83,0),0)</x:f>
        <x:v>0</x:v>
      </x:c>
      <x:c r="K83" s="18" t="str">
        <x:f>IF(D83="","",VLOOKUP(D83,'San pham'!$A$2:$G$51,5,FALSE))</x:f>
      </x:c>
      <x:c r="L83" s="18" t="n">
        <x:f>IF(C83="Ban",I83-(E83*K83),0)</x:f>
        <x:v>0</x:v>
      </x:c>
      <x:c r="M83" s="12"/>
    </x:row>
    <x:row r="84" ht="22" customHeight="1">
      <x:c r="A84" s="27"/>
      <x:c r="B84" s="12"/>
      <x:c r="C84" s="12"/>
      <x:c r="D84" s="12"/>
      <x:c r="E84" s="15"/>
      <x:c r="F84" s="18"/>
      <x:c r="G84" s="18"/>
      <x:c r="H84" s="18"/>
      <x:c r="I84" s="18" t="str">
        <x:f>IF(OR(C84="",E84="",F84=""),"",E84*F84)</x:f>
      </x:c>
      <x:c r="J84" s="18" t="n">
        <x:f>IF(C84="Ban",MAX(I84-H84,0),0)</x:f>
        <x:v>0</x:v>
      </x:c>
      <x:c r="K84" s="18" t="str">
        <x:f>IF(D84="","",VLOOKUP(D84,'San pham'!$A$2:$G$51,5,FALSE))</x:f>
      </x:c>
      <x:c r="L84" s="18" t="n">
        <x:f>IF(C84="Ban",I84-(E84*K84),0)</x:f>
        <x:v>0</x:v>
      </x:c>
      <x:c r="M84" s="12"/>
    </x:row>
    <x:row r="85" ht="22" customHeight="1">
      <x:c r="A85" s="27"/>
      <x:c r="B85" s="12"/>
      <x:c r="C85" s="12"/>
      <x:c r="D85" s="12"/>
      <x:c r="E85" s="15"/>
      <x:c r="F85" s="18"/>
      <x:c r="G85" s="18"/>
      <x:c r="H85" s="18"/>
      <x:c r="I85" s="18" t="str">
        <x:f>IF(OR(C85="",E85="",F85=""),"",E85*F85)</x:f>
      </x:c>
      <x:c r="J85" s="18" t="n">
        <x:f>IF(C85="Ban",MAX(I85-H85,0),0)</x:f>
        <x:v>0</x:v>
      </x:c>
      <x:c r="K85" s="18" t="str">
        <x:f>IF(D85="","",VLOOKUP(D85,'San pham'!$A$2:$G$51,5,FALSE))</x:f>
      </x:c>
      <x:c r="L85" s="18" t="n">
        <x:f>IF(C85="Ban",I85-(E85*K85),0)</x:f>
        <x:v>0</x:v>
      </x:c>
      <x:c r="M85" s="12"/>
    </x:row>
    <x:row r="86" ht="22" customHeight="1">
      <x:c r="A86" s="27"/>
      <x:c r="B86" s="12"/>
      <x:c r="C86" s="12"/>
      <x:c r="D86" s="12"/>
      <x:c r="E86" s="15"/>
      <x:c r="F86" s="18"/>
      <x:c r="G86" s="18"/>
      <x:c r="H86" s="18"/>
      <x:c r="I86" s="18" t="str">
        <x:f>IF(OR(C86="",E86="",F86=""),"",E86*F86)</x:f>
      </x:c>
      <x:c r="J86" s="18" t="n">
        <x:f>IF(C86="Ban",MAX(I86-H86,0),0)</x:f>
        <x:v>0</x:v>
      </x:c>
      <x:c r="K86" s="18" t="str">
        <x:f>IF(D86="","",VLOOKUP(D86,'San pham'!$A$2:$G$51,5,FALSE))</x:f>
      </x:c>
      <x:c r="L86" s="18" t="n">
        <x:f>IF(C86="Ban",I86-(E86*K86),0)</x:f>
        <x:v>0</x:v>
      </x:c>
      <x:c r="M86" s="12"/>
    </x:row>
    <x:row r="87" ht="22" customHeight="1">
      <x:c r="A87" s="27"/>
      <x:c r="B87" s="12"/>
      <x:c r="C87" s="12"/>
      <x:c r="D87" s="12"/>
      <x:c r="E87" s="15"/>
      <x:c r="F87" s="18"/>
      <x:c r="G87" s="18"/>
      <x:c r="H87" s="18"/>
      <x:c r="I87" s="18" t="str">
        <x:f>IF(OR(C87="",E87="",F87=""),"",E87*F87)</x:f>
      </x:c>
      <x:c r="J87" s="18" t="n">
        <x:f>IF(C87="Ban",MAX(I87-H87,0),0)</x:f>
        <x:v>0</x:v>
      </x:c>
      <x:c r="K87" s="18" t="str">
        <x:f>IF(D87="","",VLOOKUP(D87,'San pham'!$A$2:$G$51,5,FALSE))</x:f>
      </x:c>
      <x:c r="L87" s="18" t="n">
        <x:f>IF(C87="Ban",I87-(E87*K87),0)</x:f>
        <x:v>0</x:v>
      </x:c>
      <x:c r="M87" s="12"/>
    </x:row>
    <x:row r="88" ht="22" customHeight="1">
      <x:c r="A88" s="27"/>
      <x:c r="B88" s="12"/>
      <x:c r="C88" s="12"/>
      <x:c r="D88" s="12"/>
      <x:c r="E88" s="15"/>
      <x:c r="F88" s="18"/>
      <x:c r="G88" s="18"/>
      <x:c r="H88" s="18"/>
      <x:c r="I88" s="18" t="str">
        <x:f>IF(OR(C88="",E88="",F88=""),"",E88*F88)</x:f>
      </x:c>
      <x:c r="J88" s="18" t="n">
        <x:f>IF(C88="Ban",MAX(I88-H88,0),0)</x:f>
        <x:v>0</x:v>
      </x:c>
      <x:c r="K88" s="18" t="str">
        <x:f>IF(D88="","",VLOOKUP(D88,'San pham'!$A$2:$G$51,5,FALSE))</x:f>
      </x:c>
      <x:c r="L88" s="18" t="n">
        <x:f>IF(C88="Ban",I88-(E88*K88),0)</x:f>
        <x:v>0</x:v>
      </x:c>
      <x:c r="M88" s="12"/>
    </x:row>
    <x:row r="89" ht="22" customHeight="1">
      <x:c r="A89" s="27"/>
      <x:c r="B89" s="12"/>
      <x:c r="C89" s="12"/>
      <x:c r="D89" s="12"/>
      <x:c r="E89" s="15"/>
      <x:c r="F89" s="18"/>
      <x:c r="G89" s="18"/>
      <x:c r="H89" s="18"/>
      <x:c r="I89" s="18" t="str">
        <x:f>IF(OR(C89="",E89="",F89=""),"",E89*F89)</x:f>
      </x:c>
      <x:c r="J89" s="18" t="n">
        <x:f>IF(C89="Ban",MAX(I89-H89,0),0)</x:f>
        <x:v>0</x:v>
      </x:c>
      <x:c r="K89" s="18" t="str">
        <x:f>IF(D89="","",VLOOKUP(D89,'San pham'!$A$2:$G$51,5,FALSE))</x:f>
      </x:c>
      <x:c r="L89" s="18" t="n">
        <x:f>IF(C89="Ban",I89-(E89*K89),0)</x:f>
        <x:v>0</x:v>
      </x:c>
      <x:c r="M89" s="12"/>
    </x:row>
    <x:row r="90" ht="22" customHeight="1">
      <x:c r="A90" s="27"/>
      <x:c r="B90" s="12"/>
      <x:c r="C90" s="12"/>
      <x:c r="D90" s="12"/>
      <x:c r="E90" s="15"/>
      <x:c r="F90" s="18"/>
      <x:c r="G90" s="18"/>
      <x:c r="H90" s="18"/>
      <x:c r="I90" s="18" t="str">
        <x:f>IF(OR(C90="",E90="",F90=""),"",E90*F90)</x:f>
      </x:c>
      <x:c r="J90" s="18" t="n">
        <x:f>IF(C90="Ban",MAX(I90-H90,0),0)</x:f>
        <x:v>0</x:v>
      </x:c>
      <x:c r="K90" s="18" t="str">
        <x:f>IF(D90="","",VLOOKUP(D90,'San pham'!$A$2:$G$51,5,FALSE))</x:f>
      </x:c>
      <x:c r="L90" s="18" t="n">
        <x:f>IF(C90="Ban",I90-(E90*K90),0)</x:f>
        <x:v>0</x:v>
      </x:c>
      <x:c r="M90" s="12"/>
    </x:row>
    <x:row r="91" ht="22" customHeight="1">
      <x:c r="A91" s="27"/>
      <x:c r="B91" s="12"/>
      <x:c r="C91" s="12"/>
      <x:c r="D91" s="12"/>
      <x:c r="E91" s="15"/>
      <x:c r="F91" s="18"/>
      <x:c r="G91" s="18"/>
      <x:c r="H91" s="18"/>
      <x:c r="I91" s="18" t="str">
        <x:f>IF(OR(C91="",E91="",F91=""),"",E91*F91)</x:f>
      </x:c>
      <x:c r="J91" s="18" t="n">
        <x:f>IF(C91="Ban",MAX(I91-H91,0),0)</x:f>
        <x:v>0</x:v>
      </x:c>
      <x:c r="K91" s="18" t="str">
        <x:f>IF(D91="","",VLOOKUP(D91,'San pham'!$A$2:$G$51,5,FALSE))</x:f>
      </x:c>
      <x:c r="L91" s="18" t="n">
        <x:f>IF(C91="Ban",I91-(E91*K91),0)</x:f>
        <x:v>0</x:v>
      </x:c>
      <x:c r="M91" s="12"/>
    </x:row>
    <x:row r="92" ht="22" customHeight="1">
      <x:c r="A92" s="27"/>
      <x:c r="B92" s="12"/>
      <x:c r="C92" s="12"/>
      <x:c r="D92" s="12"/>
      <x:c r="E92" s="15"/>
      <x:c r="F92" s="18"/>
      <x:c r="G92" s="18"/>
      <x:c r="H92" s="18"/>
      <x:c r="I92" s="18" t="str">
        <x:f>IF(OR(C92="",E92="",F92=""),"",E92*F92)</x:f>
      </x:c>
      <x:c r="J92" s="18" t="n">
        <x:f>IF(C92="Ban",MAX(I92-H92,0),0)</x:f>
        <x:v>0</x:v>
      </x:c>
      <x:c r="K92" s="18" t="str">
        <x:f>IF(D92="","",VLOOKUP(D92,'San pham'!$A$2:$G$51,5,FALSE))</x:f>
      </x:c>
      <x:c r="L92" s="18" t="n">
        <x:f>IF(C92="Ban",I92-(E92*K92),0)</x:f>
        <x:v>0</x:v>
      </x:c>
      <x:c r="M92" s="12"/>
    </x:row>
    <x:row r="93" ht="22" customHeight="1">
      <x:c r="A93" s="27"/>
      <x:c r="B93" s="12"/>
      <x:c r="C93" s="12"/>
      <x:c r="D93" s="12"/>
      <x:c r="E93" s="15"/>
      <x:c r="F93" s="18"/>
      <x:c r="G93" s="18"/>
      <x:c r="H93" s="18"/>
      <x:c r="I93" s="18" t="str">
        <x:f>IF(OR(C93="",E93="",F93=""),"",E93*F93)</x:f>
      </x:c>
      <x:c r="J93" s="18" t="n">
        <x:f>IF(C93="Ban",MAX(I93-H93,0),0)</x:f>
        <x:v>0</x:v>
      </x:c>
      <x:c r="K93" s="18" t="str">
        <x:f>IF(D93="","",VLOOKUP(D93,'San pham'!$A$2:$G$51,5,FALSE))</x:f>
      </x:c>
      <x:c r="L93" s="18" t="n">
        <x:f>IF(C93="Ban",I93-(E93*K93),0)</x:f>
        <x:v>0</x:v>
      </x:c>
      <x:c r="M93" s="12"/>
    </x:row>
    <x:row r="94" ht="22" customHeight="1">
      <x:c r="A94" s="27"/>
      <x:c r="B94" s="12"/>
      <x:c r="C94" s="12"/>
      <x:c r="D94" s="12"/>
      <x:c r="E94" s="15"/>
      <x:c r="F94" s="18"/>
      <x:c r="G94" s="18"/>
      <x:c r="H94" s="18"/>
      <x:c r="I94" s="18" t="str">
        <x:f>IF(OR(C94="",E94="",F94=""),"",E94*F94)</x:f>
      </x:c>
      <x:c r="J94" s="18" t="n">
        <x:f>IF(C94="Ban",MAX(I94-H94,0),0)</x:f>
        <x:v>0</x:v>
      </x:c>
      <x:c r="K94" s="18" t="str">
        <x:f>IF(D94="","",VLOOKUP(D94,'San pham'!$A$2:$G$51,5,FALSE))</x:f>
      </x:c>
      <x:c r="L94" s="18" t="n">
        <x:f>IF(C94="Ban",I94-(E94*K94),0)</x:f>
        <x:v>0</x:v>
      </x:c>
      <x:c r="M94" s="12"/>
    </x:row>
    <x:row r="95" ht="22" customHeight="1">
      <x:c r="A95" s="27"/>
      <x:c r="B95" s="12"/>
      <x:c r="C95" s="12"/>
      <x:c r="D95" s="12"/>
      <x:c r="E95" s="15"/>
      <x:c r="F95" s="18"/>
      <x:c r="G95" s="18"/>
      <x:c r="H95" s="18"/>
      <x:c r="I95" s="18" t="str">
        <x:f>IF(OR(C95="",E95="",F95=""),"",E95*F95)</x:f>
      </x:c>
      <x:c r="J95" s="18" t="n">
        <x:f>IF(C95="Ban",MAX(I95-H95,0),0)</x:f>
        <x:v>0</x:v>
      </x:c>
      <x:c r="K95" s="18" t="str">
        <x:f>IF(D95="","",VLOOKUP(D95,'San pham'!$A$2:$G$51,5,FALSE))</x:f>
      </x:c>
      <x:c r="L95" s="18" t="n">
        <x:f>IF(C95="Ban",I95-(E95*K95),0)</x:f>
        <x:v>0</x:v>
      </x:c>
      <x:c r="M95" s="12"/>
    </x:row>
    <x:row r="96" ht="22" customHeight="1">
      <x:c r="A96" s="27"/>
      <x:c r="B96" s="12"/>
      <x:c r="C96" s="12"/>
      <x:c r="D96" s="12"/>
      <x:c r="E96" s="15"/>
      <x:c r="F96" s="18"/>
      <x:c r="G96" s="18"/>
      <x:c r="H96" s="18"/>
      <x:c r="I96" s="18" t="str">
        <x:f>IF(OR(C96="",E96="",F96=""),"",E96*F96)</x:f>
      </x:c>
      <x:c r="J96" s="18" t="n">
        <x:f>IF(C96="Ban",MAX(I96-H96,0),0)</x:f>
        <x:v>0</x:v>
      </x:c>
      <x:c r="K96" s="18" t="str">
        <x:f>IF(D96="","",VLOOKUP(D96,'San pham'!$A$2:$G$51,5,FALSE))</x:f>
      </x:c>
      <x:c r="L96" s="18" t="n">
        <x:f>IF(C96="Ban",I96-(E96*K96),0)</x:f>
        <x:v>0</x:v>
      </x:c>
      <x:c r="M96" s="12"/>
    </x:row>
    <x:row r="97" ht="22" customHeight="1">
      <x:c r="A97" s="27"/>
      <x:c r="B97" s="12"/>
      <x:c r="C97" s="12"/>
      <x:c r="D97" s="12"/>
      <x:c r="E97" s="15"/>
      <x:c r="F97" s="18"/>
      <x:c r="G97" s="18"/>
      <x:c r="H97" s="18"/>
      <x:c r="I97" s="18" t="str">
        <x:f>IF(OR(C97="",E97="",F97=""),"",E97*F97)</x:f>
      </x:c>
      <x:c r="J97" s="18" t="n">
        <x:f>IF(C97="Ban",MAX(I97-H97,0),0)</x:f>
        <x:v>0</x:v>
      </x:c>
      <x:c r="K97" s="18" t="str">
        <x:f>IF(D97="","",VLOOKUP(D97,'San pham'!$A$2:$G$51,5,FALSE))</x:f>
      </x:c>
      <x:c r="L97" s="18" t="n">
        <x:f>IF(C97="Ban",I97-(E97*K97),0)</x:f>
        <x:v>0</x:v>
      </x:c>
      <x:c r="M97" s="12"/>
    </x:row>
    <x:row r="98" ht="22" customHeight="1">
      <x:c r="A98" s="27"/>
      <x:c r="B98" s="12"/>
      <x:c r="C98" s="12"/>
      <x:c r="D98" s="12"/>
      <x:c r="E98" s="15"/>
      <x:c r="F98" s="18"/>
      <x:c r="G98" s="18"/>
      <x:c r="H98" s="18"/>
      <x:c r="I98" s="18" t="str">
        <x:f>IF(OR(C98="",E98="",F98=""),"",E98*F98)</x:f>
      </x:c>
      <x:c r="J98" s="18" t="n">
        <x:f>IF(C98="Ban",MAX(I98-H98,0),0)</x:f>
        <x:v>0</x:v>
      </x:c>
      <x:c r="K98" s="18" t="str">
        <x:f>IF(D98="","",VLOOKUP(D98,'San pham'!$A$2:$G$51,5,FALSE))</x:f>
      </x:c>
      <x:c r="L98" s="18" t="n">
        <x:f>IF(C98="Ban",I98-(E98*K98),0)</x:f>
        <x:v>0</x:v>
      </x:c>
      <x:c r="M98" s="12"/>
    </x:row>
    <x:row r="99" ht="22" customHeight="1">
      <x:c r="A99" s="27"/>
      <x:c r="B99" s="12"/>
      <x:c r="C99" s="12"/>
      <x:c r="D99" s="12"/>
      <x:c r="E99" s="15"/>
      <x:c r="F99" s="18"/>
      <x:c r="G99" s="18"/>
      <x:c r="H99" s="18"/>
      <x:c r="I99" s="18" t="str">
        <x:f>IF(OR(C99="",E99="",F99=""),"",E99*F99)</x:f>
      </x:c>
      <x:c r="J99" s="18" t="n">
        <x:f>IF(C99="Ban",MAX(I99-H99,0),0)</x:f>
        <x:v>0</x:v>
      </x:c>
      <x:c r="K99" s="18" t="str">
        <x:f>IF(D99="","",VLOOKUP(D99,'San pham'!$A$2:$G$51,5,FALSE))</x:f>
      </x:c>
      <x:c r="L99" s="18" t="n">
        <x:f>IF(C99="Ban",I99-(E99*K99),0)</x:f>
        <x:v>0</x:v>
      </x:c>
      <x:c r="M99" s="12"/>
    </x:row>
    <x:row r="100" ht="22" customHeight="1">
      <x:c r="A100" s="27"/>
      <x:c r="B100" s="12"/>
      <x:c r="C100" s="12"/>
      <x:c r="D100" s="12"/>
      <x:c r="E100" s="15"/>
      <x:c r="F100" s="18"/>
      <x:c r="G100" s="18"/>
      <x:c r="H100" s="18"/>
      <x:c r="I100" s="18" t="str">
        <x:f>IF(OR(C100="",E100="",F100=""),"",E100*F100)</x:f>
      </x:c>
      <x:c r="J100" s="18" t="n">
        <x:f>IF(C100="Ban",MAX(I100-H100,0),0)</x:f>
        <x:v>0</x:v>
      </x:c>
      <x:c r="K100" s="18" t="str">
        <x:f>IF(D100="","",VLOOKUP(D100,'San pham'!$A$2:$G$51,5,FALSE))</x:f>
      </x:c>
      <x:c r="L100" s="18" t="n">
        <x:f>IF(C100="Ban",I100-(E100*K100),0)</x:f>
        <x:v>0</x:v>
      </x:c>
      <x:c r="M100" s="12"/>
    </x:row>
    <x:row r="101" ht="22" customHeight="1">
      <x:c r="A101" s="28"/>
      <x:c r="B101" s="13"/>
      <x:c r="C101" s="13"/>
      <x:c r="D101" s="13"/>
      <x:c r="E101" s="16"/>
      <x:c r="F101" s="19"/>
      <x:c r="G101" s="19"/>
      <x:c r="H101" s="19"/>
      <x:c r="I101" s="19" t="str">
        <x:f>IF(OR(C101="",E101="",F101=""),"",E101*F101)</x:f>
      </x:c>
      <x:c r="J101" s="19" t="n">
        <x:f>IF(C101="Ban",MAX(I101-H101,0),0)</x:f>
        <x:v>0</x:v>
      </x:c>
      <x:c r="K101" s="19" t="str">
        <x:f>IF(D101="","",VLOOKUP(D101,'San pham'!$A$2:$G$51,5,FALSE))</x:f>
      </x:c>
      <x:c r="L101" s="19" t="n">
        <x:f>IF(C101="Ban",I101-(E101*K101),0)</x:f>
        <x:v>0</x:v>
      </x:c>
      <x:c r="M101" s="13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</x:row>
  </x:sheetData>
  <x:dataValidations count="2">
    <x:dataValidation type="list" sqref="C2:C101">
      <x:formula1>"Nhap,Ban"</x:formula1>
    </x:dataValidation>
    <x:dataValidation type="list" sqref="D2:D101">
      <x:formula1>'San pham'!$A$2:$A$51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5B94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7" hidden="0" customWidth="1"/>
    <x:col min="8" max="8" width="17" hidden="0" customWidth="1"/>
    <x:col min="9" max="9" width="17" hidden="0" customWidth="1"/>
    <x:col min="10" max="10" width="16" hidden="0" customWidth="1"/>
  </x:cols>
  <x:sheetData>
    <x:row r="1" ht="32" customHeight="1">
      <x:c r="A1" s="23" t="str">
        <x:v>SKU</x:v>
      </x:c>
      <x:c r="B1" s="24" t="str">
        <x:v>Ten san pham</x:v>
      </x:c>
      <x:c r="C1" s="24" t="str">
        <x:v>Ton dau</x:v>
      </x:c>
      <x:c r="D1" s="24" t="str">
        <x:v>Nhap</x:v>
      </x:c>
      <x:c r="E1" s="24" t="str">
        <x:v>Ban</x:v>
      </x:c>
      <x:c r="F1" s="24" t="str">
        <x:v>Ton hien tai</x:v>
      </x:c>
      <x:c r="G1" s="24" t="str">
        <x:v>Gia von</x:v>
      </x:c>
      <x:c r="H1" s="24" t="str">
        <x:v>Gia tri ton</x:v>
      </x:c>
      <x:c r="I1" s="24" t="str">
        <x:v>Ton toi thieu</x:v>
      </x:c>
      <x:c r="J1" s="25" t="str">
        <x:v>Trang thai</x:v>
      </x:c>
      <x:c r="K1" s="2"/>
      <x:c r="L1" s="2"/>
      <x:c r="M1" s="2"/>
    </x:row>
    <x:row r="2" ht="22" customHeight="1">
      <x:c r="A2" s="11" t="str">
        <x:v>SP001</x:v>
      </x:c>
      <x:c r="B2" s="11" t="str">
        <x:v>Ca phe hat Arabica</x:v>
      </x:c>
      <x:c r="C2" s="14" t="n">
        <x:f>VLOOKUP(A2,'San pham'!$A$2:$G$51,4,FALSE)</x:f>
        <x:v>40</x:v>
      </x:c>
      <x:c r="D2" s="14" t="n">
        <x:f>SUMIFS('Giao dich'!$E$2:$E$101,'Giao dich'!$D$2:$D$101,A2,'Giao dich'!$C$2:$C$101,"Nhap")</x:f>
        <x:v>35</x:v>
      </x:c>
      <x:c r="E2" s="14" t="n">
        <x:f>SUMIFS('Giao dich'!$E$2:$E$101,'Giao dich'!$D$2:$D$101,A2,'Giao dich'!$C$2:$C$101,"Ban")</x:f>
        <x:v>30</x:v>
      </x:c>
      <x:c r="F2" s="14" t="n">
        <x:f>C2+D2-E2</x:f>
        <x:v>45</x:v>
      </x:c>
      <x:c r="G2" s="17" t="n">
        <x:f>VLOOKUP(A2,'San pham'!$A$2:$G$51,5,FALSE)</x:f>
        <x:v>120000</x:v>
      </x:c>
      <x:c r="H2" s="17" t="n">
        <x:f>F2*G2</x:f>
        <x:v>5400000</x:v>
      </x:c>
      <x:c r="I2" s="14" t="n">
        <x:f>VLOOKUP(A2,'San pham'!$A$2:$G$51,7,FALSE)</x:f>
        <x:v>50</x:v>
      </x:c>
      <x:c r="J2" s="11" t="str">
        <x:f>IF(A2="","",IF(F2&lt;=I2,"Can nhap","Du hang"))</x:f>
        <x:v>Can nhap</x:v>
      </x:c>
      <x:c r="K2" s="2"/>
      <x:c r="L2" s="2"/>
      <x:c r="M2" s="2"/>
    </x:row>
    <x:row r="3" ht="22" customHeight="1">
      <x:c r="A3" s="12" t="str">
        <x:v>SP002</x:v>
      </x:c>
      <x:c r="B3" s="12" t="str">
        <x:v>Tra dao</x:v>
      </x:c>
      <x:c r="C3" s="15" t="n">
        <x:f>VLOOKUP(A3,'San pham'!$A$2:$G$51,4,FALSE)</x:f>
        <x:v>30</x:v>
      </x:c>
      <x:c r="D3" s="15" t="n">
        <x:f>SUMIFS('Giao dich'!$E$2:$E$101,'Giao dich'!$D$2:$D$101,A3,'Giao dich'!$C$2:$C$101,"Nhap")</x:f>
        <x:v>30</x:v>
      </x:c>
      <x:c r="E3" s="15" t="n">
        <x:f>SUMIFS('Giao dich'!$E$2:$E$101,'Giao dich'!$D$2:$D$101,A3,'Giao dich'!$C$2:$C$101,"Ban")</x:f>
        <x:v>22</x:v>
      </x:c>
      <x:c r="F3" s="15" t="n">
        <x:f>C3+D3-E3</x:f>
        <x:v>38</x:v>
      </x:c>
      <x:c r="G3" s="18" t="n">
        <x:f>VLOOKUP(A3,'San pham'!$A$2:$G$51,5,FALSE)</x:f>
        <x:v>55000</x:v>
      </x:c>
      <x:c r="H3" s="18" t="n">
        <x:f>F3*G3</x:f>
        <x:v>2090000</x:v>
      </x:c>
      <x:c r="I3" s="15" t="n">
        <x:f>VLOOKUP(A3,'San pham'!$A$2:$G$51,7,FALSE)</x:f>
        <x:v>40</x:v>
      </x:c>
      <x:c r="J3" s="12" t="str">
        <x:f>IF(A3="","",IF(F3&lt;=I3,"Can nhap","Du hang"))</x:f>
        <x:v>Can nhap</x:v>
      </x:c>
      <x:c r="K3" s="2"/>
      <x:c r="L3" s="2"/>
      <x:c r="M3" s="2"/>
    </x:row>
    <x:row r="4" ht="22" customHeight="1">
      <x:c r="A4" s="12" t="str">
        <x:v>SP003</x:v>
      </x:c>
      <x:c r="B4" s="12" t="str">
        <x:v>Ly giay 500 ml</x:v>
      </x:c>
      <x:c r="C4" s="15" t="n">
        <x:f>VLOOKUP(A4,'San pham'!$A$2:$G$51,4,FALSE)</x:f>
        <x:v>100</x:v>
      </x:c>
      <x:c r="D4" s="15" t="n">
        <x:f>SUMIFS('Giao dich'!$E$2:$E$101,'Giao dich'!$D$2:$D$101,A4,'Giao dich'!$C$2:$C$101,"Nhap")</x:f>
        <x:v>200</x:v>
      </x:c>
      <x:c r="E4" s="15" t="n">
        <x:f>SUMIFS('Giao dich'!$E$2:$E$101,'Giao dich'!$D$2:$D$101,A4,'Giao dich'!$C$2:$C$101,"Ban")</x:f>
        <x:v>80</x:v>
      </x:c>
      <x:c r="F4" s="15" t="n">
        <x:f>C4+D4-E4</x:f>
        <x:v>220</x:v>
      </x:c>
      <x:c r="G4" s="18" t="n">
        <x:f>VLOOKUP(A4,'San pham'!$A$2:$G$51,5,FALSE)</x:f>
        <x:v>1200</x:v>
      </x:c>
      <x:c r="H4" s="18" t="n">
        <x:f>F4*G4</x:f>
        <x:v>264000</x:v>
      </x:c>
      <x:c r="I4" s="15" t="n">
        <x:f>VLOOKUP(A4,'San pham'!$A$2:$G$51,7,FALSE)</x:f>
        <x:v>100</x:v>
      </x:c>
      <x:c r="J4" s="12" t="str">
        <x:f>IF(A4="","",IF(F4&lt;=I4,"Can nhap","Du hang"))</x:f>
        <x:v>Du hang</x:v>
      </x:c>
      <x:c r="K4" s="2"/>
      <x:c r="L4" s="2"/>
      <x:c r="M4" s="2"/>
    </x:row>
    <x:row r="5" ht="22" customHeight="1">
      <x:c r="A5" s="12" t="str">
        <x:v>SP004</x:v>
      </x:c>
      <x:c r="B5" s="12" t="str">
        <x:v>Siro dao</x:v>
      </x:c>
      <x:c r="C5" s="15" t="n">
        <x:f>VLOOKUP(A5,'San pham'!$A$2:$G$51,4,FALSE)</x:f>
        <x:v>12</x:v>
      </x:c>
      <x:c r="D5" s="15" t="n">
        <x:f>SUMIFS('Giao dich'!$E$2:$E$101,'Giao dich'!$D$2:$D$101,A5,'Giao dich'!$C$2:$C$101,"Nhap")</x:f>
        <x:v>0</x:v>
      </x:c>
      <x:c r="E5" s="15" t="n">
        <x:f>SUMIFS('Giao dich'!$E$2:$E$101,'Giao dich'!$D$2:$D$101,A5,'Giao dich'!$C$2:$C$101,"Ban")</x:f>
        <x:v>0</x:v>
      </x:c>
      <x:c r="F5" s="15" t="n">
        <x:f>C5+D5-E5</x:f>
        <x:v>12</x:v>
      </x:c>
      <x:c r="G5" s="18" t="n">
        <x:f>VLOOKUP(A5,'San pham'!$A$2:$G$51,5,FALSE)</x:f>
        <x:v>85000</x:v>
      </x:c>
      <x:c r="H5" s="18" t="n">
        <x:f>F5*G5</x:f>
        <x:v>1020000</x:v>
      </x:c>
      <x:c r="I5" s="15" t="n">
        <x:f>VLOOKUP(A5,'San pham'!$A$2:$G$51,7,FALSE)</x:f>
        <x:v>10</x:v>
      </x:c>
      <x:c r="J5" s="12" t="str">
        <x:f>IF(A5="","",IF(F5&lt;=I5,"Can nhap","Du hang"))</x:f>
        <x:v>Du hang</x:v>
      </x:c>
      <x:c r="K5" s="2"/>
      <x:c r="L5" s="2"/>
      <x:c r="M5" s="2"/>
    </x:row>
    <x:row r="6" ht="22" customHeight="1">
      <x:c r="A6" s="12" t="str">
        <x:v>SP005</x:v>
      </x:c>
      <x:c r="B6" s="12" t="str">
        <x:v>Sua tuoi 1 l</x:v>
      </x:c>
      <x:c r="C6" s="15" t="n">
        <x:f>VLOOKUP(A6,'San pham'!$A$2:$G$51,4,FALSE)</x:f>
        <x:v>20</x:v>
      </x:c>
      <x:c r="D6" s="15" t="n">
        <x:f>SUMIFS('Giao dich'!$E$2:$E$101,'Giao dich'!$D$2:$D$101,A6,'Giao dich'!$C$2:$C$101,"Nhap")</x:f>
        <x:v>0</x:v>
      </x:c>
      <x:c r="E6" s="15" t="n">
        <x:f>SUMIFS('Giao dich'!$E$2:$E$101,'Giao dich'!$D$2:$D$101,A6,'Giao dich'!$C$2:$C$101,"Ban")</x:f>
        <x:v>0</x:v>
      </x:c>
      <x:c r="F6" s="15" t="n">
        <x:f>C6+D6-E6</x:f>
        <x:v>20</x:v>
      </x:c>
      <x:c r="G6" s="18" t="n">
        <x:f>VLOOKUP(A6,'San pham'!$A$2:$G$51,5,FALSE)</x:f>
        <x:v>32000</x:v>
      </x:c>
      <x:c r="H6" s="18" t="n">
        <x:f>F6*G6</x:f>
        <x:v>640000</x:v>
      </x:c>
      <x:c r="I6" s="15" t="n">
        <x:f>VLOOKUP(A6,'San pham'!$A$2:$G$51,7,FALSE)</x:f>
        <x:v>12</x:v>
      </x:c>
      <x:c r="J6" s="12" t="str">
        <x:f>IF(A6="","",IF(F6&lt;=I6,"Can nhap","Du hang"))</x:f>
        <x:v>Du hang</x:v>
      </x:c>
      <x:c r="K6" s="2"/>
      <x:c r="L6" s="2"/>
      <x:c r="M6" s="2"/>
    </x:row>
    <x:row r="7" ht="22" customHeight="1">
      <x:c r="A7" s="12"/>
      <x:c r="B7" s="12"/>
      <x:c r="C7" s="15" t="str">
        <x:f>VLOOKUP(A7,'San pham'!$A$2:$G$51,4,FALSE)</x:f>
      </x:c>
      <x:c r="D7" s="15" t="n">
        <x:f>SUMIFS('Giao dich'!$E$2:$E$101,'Giao dich'!$D$2:$D$101,A7,'Giao dich'!$C$2:$C$101,"Nhap")</x:f>
        <x:v>0</x:v>
      </x:c>
      <x:c r="E7" s="15" t="n">
        <x:f>SUMIFS('Giao dich'!$E$2:$E$101,'Giao dich'!$D$2:$D$101,A7,'Giao dich'!$C$2:$C$101,"Ban")</x:f>
        <x:v>0</x:v>
      </x:c>
      <x:c r="F7" s="15" t="n">
        <x:f>C7+D7-E7</x:f>
        <x:v>0</x:v>
      </x:c>
      <x:c r="G7" s="18" t="str">
        <x:f>VLOOKUP(A7,'San pham'!$A$2:$G$51,5,FALSE)</x:f>
      </x:c>
      <x:c r="H7" s="18" t="n">
        <x:f>F7*G7</x:f>
        <x:v>0</x:v>
      </x:c>
      <x:c r="I7" s="15" t="str">
        <x:f>VLOOKUP(A7,'San pham'!$A$2:$G$51,7,FALSE)</x:f>
      </x:c>
      <x:c r="J7" s="12" t="str">
        <x:f>IF(A7="","",IF(F7&lt;=I7,"Can nhap","Du hang"))</x:f>
      </x:c>
      <x:c r="K7" s="2"/>
      <x:c r="L7" s="2"/>
      <x:c r="M7" s="2"/>
    </x:row>
    <x:row r="8" ht="22" customHeight="1">
      <x:c r="A8" s="12"/>
      <x:c r="B8" s="12"/>
      <x:c r="C8" s="15" t="str">
        <x:f>VLOOKUP(A8,'San pham'!$A$2:$G$51,4,FALSE)</x:f>
      </x:c>
      <x:c r="D8" s="15" t="n">
        <x:f>SUMIFS('Giao dich'!$E$2:$E$101,'Giao dich'!$D$2:$D$101,A8,'Giao dich'!$C$2:$C$101,"Nhap")</x:f>
        <x:v>0</x:v>
      </x:c>
      <x:c r="E8" s="15" t="n">
        <x:f>SUMIFS('Giao dich'!$E$2:$E$101,'Giao dich'!$D$2:$D$101,A8,'Giao dich'!$C$2:$C$101,"Ban")</x:f>
        <x:v>0</x:v>
      </x:c>
      <x:c r="F8" s="15" t="n">
        <x:f>C8+D8-E8</x:f>
        <x:v>0</x:v>
      </x:c>
      <x:c r="G8" s="18" t="str">
        <x:f>VLOOKUP(A8,'San pham'!$A$2:$G$51,5,FALSE)</x:f>
      </x:c>
      <x:c r="H8" s="18" t="n">
        <x:f>F8*G8</x:f>
        <x:v>0</x:v>
      </x:c>
      <x:c r="I8" s="15" t="str">
        <x:f>VLOOKUP(A8,'San pham'!$A$2:$G$51,7,FALSE)</x:f>
      </x:c>
      <x:c r="J8" s="12" t="str">
        <x:f>IF(A8="","",IF(F8&lt;=I8,"Can nhap","Du hang"))</x:f>
      </x:c>
      <x:c r="K8" s="2"/>
      <x:c r="L8" s="2"/>
      <x:c r="M8" s="2"/>
    </x:row>
    <x:row r="9" ht="22" customHeight="1">
      <x:c r="A9" s="12"/>
      <x:c r="B9" s="12"/>
      <x:c r="C9" s="15" t="str">
        <x:f>VLOOKUP(A9,'San pham'!$A$2:$G$51,4,FALSE)</x:f>
      </x:c>
      <x:c r="D9" s="15" t="n">
        <x:f>SUMIFS('Giao dich'!$E$2:$E$101,'Giao dich'!$D$2:$D$101,A9,'Giao dich'!$C$2:$C$101,"Nhap")</x:f>
        <x:v>0</x:v>
      </x:c>
      <x:c r="E9" s="15" t="n">
        <x:f>SUMIFS('Giao dich'!$E$2:$E$101,'Giao dich'!$D$2:$D$101,A9,'Giao dich'!$C$2:$C$101,"Ban")</x:f>
        <x:v>0</x:v>
      </x:c>
      <x:c r="F9" s="15" t="n">
        <x:f>C9+D9-E9</x:f>
        <x:v>0</x:v>
      </x:c>
      <x:c r="G9" s="18" t="str">
        <x:f>VLOOKUP(A9,'San pham'!$A$2:$G$51,5,FALSE)</x:f>
      </x:c>
      <x:c r="H9" s="18" t="n">
        <x:f>F9*G9</x:f>
        <x:v>0</x:v>
      </x:c>
      <x:c r="I9" s="15" t="str">
        <x:f>VLOOKUP(A9,'San pham'!$A$2:$G$51,7,FALSE)</x:f>
      </x:c>
      <x:c r="J9" s="12" t="str">
        <x:f>IF(A9="","",IF(F9&lt;=I9,"Can nhap","Du hang"))</x:f>
      </x:c>
      <x:c r="K9" s="2"/>
      <x:c r="L9" s="2"/>
      <x:c r="M9" s="2"/>
    </x:row>
    <x:row r="10" ht="22" customHeight="1">
      <x:c r="A10" s="12"/>
      <x:c r="B10" s="12"/>
      <x:c r="C10" s="15" t="str">
        <x:f>VLOOKUP(A10,'San pham'!$A$2:$G$51,4,FALSE)</x:f>
      </x:c>
      <x:c r="D10" s="15" t="n">
        <x:f>SUMIFS('Giao dich'!$E$2:$E$101,'Giao dich'!$D$2:$D$101,A10,'Giao dich'!$C$2:$C$101,"Nhap")</x:f>
        <x:v>0</x:v>
      </x:c>
      <x:c r="E10" s="15" t="n">
        <x:f>SUMIFS('Giao dich'!$E$2:$E$101,'Giao dich'!$D$2:$D$101,A10,'Giao dich'!$C$2:$C$101,"Ban")</x:f>
        <x:v>0</x:v>
      </x:c>
      <x:c r="F10" s="15" t="n">
        <x:f>C10+D10-E10</x:f>
        <x:v>0</x:v>
      </x:c>
      <x:c r="G10" s="18" t="str">
        <x:f>VLOOKUP(A10,'San pham'!$A$2:$G$51,5,FALSE)</x:f>
      </x:c>
      <x:c r="H10" s="18" t="n">
        <x:f>F10*G10</x:f>
        <x:v>0</x:v>
      </x:c>
      <x:c r="I10" s="15" t="str">
        <x:f>VLOOKUP(A10,'San pham'!$A$2:$G$51,7,FALSE)</x:f>
      </x:c>
      <x:c r="J10" s="12" t="str">
        <x:f>IF(A10="","",IF(F10&lt;=I10,"Can nhap","Du hang"))</x:f>
      </x:c>
      <x:c r="K10" s="2"/>
      <x:c r="L10" s="2"/>
      <x:c r="M10" s="2"/>
    </x:row>
    <x:row r="11" ht="22" customHeight="1">
      <x:c r="A11" s="12"/>
      <x:c r="B11" s="12"/>
      <x:c r="C11" s="15" t="str">
        <x:f>VLOOKUP(A11,'San pham'!$A$2:$G$51,4,FALSE)</x:f>
      </x:c>
      <x:c r="D11" s="15" t="n">
        <x:f>SUMIFS('Giao dich'!$E$2:$E$101,'Giao dich'!$D$2:$D$101,A11,'Giao dich'!$C$2:$C$101,"Nhap")</x:f>
        <x:v>0</x:v>
      </x:c>
      <x:c r="E11" s="15" t="n">
        <x:f>SUMIFS('Giao dich'!$E$2:$E$101,'Giao dich'!$D$2:$D$101,A11,'Giao dich'!$C$2:$C$101,"Ban")</x:f>
        <x:v>0</x:v>
      </x:c>
      <x:c r="F11" s="15" t="n">
        <x:f>C11+D11-E11</x:f>
        <x:v>0</x:v>
      </x:c>
      <x:c r="G11" s="18" t="str">
        <x:f>VLOOKUP(A11,'San pham'!$A$2:$G$51,5,FALSE)</x:f>
      </x:c>
      <x:c r="H11" s="18" t="n">
        <x:f>F11*G11</x:f>
        <x:v>0</x:v>
      </x:c>
      <x:c r="I11" s="15" t="str">
        <x:f>VLOOKUP(A11,'San pham'!$A$2:$G$51,7,FALSE)</x:f>
      </x:c>
      <x:c r="J11" s="12" t="str">
        <x:f>IF(A11="","",IF(F11&lt;=I11,"Can nhap","Du hang"))</x:f>
      </x:c>
      <x:c r="K11" s="2"/>
      <x:c r="L11" s="2"/>
      <x:c r="M11" s="2"/>
    </x:row>
    <x:row r="12" ht="22" customHeight="1">
      <x:c r="A12" s="12"/>
      <x:c r="B12" s="12"/>
      <x:c r="C12" s="15" t="str">
        <x:f>VLOOKUP(A12,'San pham'!$A$2:$G$51,4,FALSE)</x:f>
      </x:c>
      <x:c r="D12" s="15" t="n">
        <x:f>SUMIFS('Giao dich'!$E$2:$E$101,'Giao dich'!$D$2:$D$101,A12,'Giao dich'!$C$2:$C$101,"Nhap")</x:f>
        <x:v>0</x:v>
      </x:c>
      <x:c r="E12" s="15" t="n">
        <x:f>SUMIFS('Giao dich'!$E$2:$E$101,'Giao dich'!$D$2:$D$101,A12,'Giao dich'!$C$2:$C$101,"Ban")</x:f>
        <x:v>0</x:v>
      </x:c>
      <x:c r="F12" s="15" t="n">
        <x:f>C12+D12-E12</x:f>
        <x:v>0</x:v>
      </x:c>
      <x:c r="G12" s="18" t="str">
        <x:f>VLOOKUP(A12,'San pham'!$A$2:$G$51,5,FALSE)</x:f>
      </x:c>
      <x:c r="H12" s="18" t="n">
        <x:f>F12*G12</x:f>
        <x:v>0</x:v>
      </x:c>
      <x:c r="I12" s="15" t="str">
        <x:f>VLOOKUP(A12,'San pham'!$A$2:$G$51,7,FALSE)</x:f>
      </x:c>
      <x:c r="J12" s="12" t="str">
        <x:f>IF(A12="","",IF(F12&lt;=I12,"Can nhap","Du hang"))</x:f>
      </x:c>
      <x:c r="K12" s="2"/>
      <x:c r="L12" s="2"/>
      <x:c r="M12" s="2"/>
    </x:row>
    <x:row r="13" ht="22" customHeight="1">
      <x:c r="A13" s="12"/>
      <x:c r="B13" s="12"/>
      <x:c r="C13" s="15" t="str">
        <x:f>VLOOKUP(A13,'San pham'!$A$2:$G$51,4,FALSE)</x:f>
      </x:c>
      <x:c r="D13" s="15" t="n">
        <x:f>SUMIFS('Giao dich'!$E$2:$E$101,'Giao dich'!$D$2:$D$101,A13,'Giao dich'!$C$2:$C$101,"Nhap")</x:f>
        <x:v>0</x:v>
      </x:c>
      <x:c r="E13" s="15" t="n">
        <x:f>SUMIFS('Giao dich'!$E$2:$E$101,'Giao dich'!$D$2:$D$101,A13,'Giao dich'!$C$2:$C$101,"Ban")</x:f>
        <x:v>0</x:v>
      </x:c>
      <x:c r="F13" s="15" t="n">
        <x:f>C13+D13-E13</x:f>
        <x:v>0</x:v>
      </x:c>
      <x:c r="G13" s="18" t="str">
        <x:f>VLOOKUP(A13,'San pham'!$A$2:$G$51,5,FALSE)</x:f>
      </x:c>
      <x:c r="H13" s="18" t="n">
        <x:f>F13*G13</x:f>
        <x:v>0</x:v>
      </x:c>
      <x:c r="I13" s="15" t="str">
        <x:f>VLOOKUP(A13,'San pham'!$A$2:$G$51,7,FALSE)</x:f>
      </x:c>
      <x:c r="J13" s="12" t="str">
        <x:f>IF(A13="","",IF(F13&lt;=I13,"Can nhap","Du hang"))</x:f>
      </x:c>
      <x:c r="K13" s="2"/>
      <x:c r="L13" s="2"/>
      <x:c r="M13" s="2"/>
    </x:row>
    <x:row r="14" ht="22" customHeight="1">
      <x:c r="A14" s="12"/>
      <x:c r="B14" s="12"/>
      <x:c r="C14" s="15" t="str">
        <x:f>VLOOKUP(A14,'San pham'!$A$2:$G$51,4,FALSE)</x:f>
      </x:c>
      <x:c r="D14" s="15" t="n">
        <x:f>SUMIFS('Giao dich'!$E$2:$E$101,'Giao dich'!$D$2:$D$101,A14,'Giao dich'!$C$2:$C$101,"Nhap")</x:f>
        <x:v>0</x:v>
      </x:c>
      <x:c r="E14" s="15" t="n">
        <x:f>SUMIFS('Giao dich'!$E$2:$E$101,'Giao dich'!$D$2:$D$101,A14,'Giao dich'!$C$2:$C$101,"Ban")</x:f>
        <x:v>0</x:v>
      </x:c>
      <x:c r="F14" s="15" t="n">
        <x:f>C14+D14-E14</x:f>
        <x:v>0</x:v>
      </x:c>
      <x:c r="G14" s="18" t="str">
        <x:f>VLOOKUP(A14,'San pham'!$A$2:$G$51,5,FALSE)</x:f>
      </x:c>
      <x:c r="H14" s="18" t="n">
        <x:f>F14*G14</x:f>
        <x:v>0</x:v>
      </x:c>
      <x:c r="I14" s="15" t="str">
        <x:f>VLOOKUP(A14,'San pham'!$A$2:$G$51,7,FALSE)</x:f>
      </x:c>
      <x:c r="J14" s="12" t="str">
        <x:f>IF(A14="","",IF(F14&lt;=I14,"Can nhap","Du hang"))</x:f>
      </x:c>
      <x:c r="K14" s="2"/>
      <x:c r="L14" s="2"/>
      <x:c r="M14" s="2"/>
    </x:row>
    <x:row r="15" ht="22" customHeight="1">
      <x:c r="A15" s="12"/>
      <x:c r="B15" s="12"/>
      <x:c r="C15" s="15" t="str">
        <x:f>VLOOKUP(A15,'San pham'!$A$2:$G$51,4,FALSE)</x:f>
      </x:c>
      <x:c r="D15" s="15" t="n">
        <x:f>SUMIFS('Giao dich'!$E$2:$E$101,'Giao dich'!$D$2:$D$101,A15,'Giao dich'!$C$2:$C$101,"Nhap")</x:f>
        <x:v>0</x:v>
      </x:c>
      <x:c r="E15" s="15" t="n">
        <x:f>SUMIFS('Giao dich'!$E$2:$E$101,'Giao dich'!$D$2:$D$101,A15,'Giao dich'!$C$2:$C$101,"Ban")</x:f>
        <x:v>0</x:v>
      </x:c>
      <x:c r="F15" s="15" t="n">
        <x:f>C15+D15-E15</x:f>
        <x:v>0</x:v>
      </x:c>
      <x:c r="G15" s="18" t="str">
        <x:f>VLOOKUP(A15,'San pham'!$A$2:$G$51,5,FALSE)</x:f>
      </x:c>
      <x:c r="H15" s="18" t="n">
        <x:f>F15*G15</x:f>
        <x:v>0</x:v>
      </x:c>
      <x:c r="I15" s="15" t="str">
        <x:f>VLOOKUP(A15,'San pham'!$A$2:$G$51,7,FALSE)</x:f>
      </x:c>
      <x:c r="J15" s="12" t="str">
        <x:f>IF(A15="","",IF(F15&lt;=I15,"Can nhap","Du hang"))</x:f>
      </x:c>
      <x:c r="K15" s="2"/>
      <x:c r="L15" s="2"/>
      <x:c r="M15" s="2"/>
    </x:row>
    <x:row r="16" ht="22" customHeight="1">
      <x:c r="A16" s="12"/>
      <x:c r="B16" s="12"/>
      <x:c r="C16" s="15" t="str">
        <x:f>VLOOKUP(A16,'San pham'!$A$2:$G$51,4,FALSE)</x:f>
      </x:c>
      <x:c r="D16" s="15" t="n">
        <x:f>SUMIFS('Giao dich'!$E$2:$E$101,'Giao dich'!$D$2:$D$101,A16,'Giao dich'!$C$2:$C$101,"Nhap")</x:f>
        <x:v>0</x:v>
      </x:c>
      <x:c r="E16" s="15" t="n">
        <x:f>SUMIFS('Giao dich'!$E$2:$E$101,'Giao dich'!$D$2:$D$101,A16,'Giao dich'!$C$2:$C$101,"Ban")</x:f>
        <x:v>0</x:v>
      </x:c>
      <x:c r="F16" s="15" t="n">
        <x:f>C16+D16-E16</x:f>
        <x:v>0</x:v>
      </x:c>
      <x:c r="G16" s="18" t="str">
        <x:f>VLOOKUP(A16,'San pham'!$A$2:$G$51,5,FALSE)</x:f>
      </x:c>
      <x:c r="H16" s="18" t="n">
        <x:f>F16*G16</x:f>
        <x:v>0</x:v>
      </x:c>
      <x:c r="I16" s="15" t="str">
        <x:f>VLOOKUP(A16,'San pham'!$A$2:$G$51,7,FALSE)</x:f>
      </x:c>
      <x:c r="J16" s="12" t="str">
        <x:f>IF(A16="","",IF(F16&lt;=I16,"Can nhap","Du hang"))</x:f>
      </x:c>
      <x:c r="K16" s="2"/>
      <x:c r="L16" s="2"/>
      <x:c r="M16" s="2"/>
    </x:row>
    <x:row r="17" ht="22" customHeight="1">
      <x:c r="A17" s="12"/>
      <x:c r="B17" s="12"/>
      <x:c r="C17" s="15" t="str">
        <x:f>VLOOKUP(A17,'San pham'!$A$2:$G$51,4,FALSE)</x:f>
      </x:c>
      <x:c r="D17" s="15" t="n">
        <x:f>SUMIFS('Giao dich'!$E$2:$E$101,'Giao dich'!$D$2:$D$101,A17,'Giao dich'!$C$2:$C$101,"Nhap")</x:f>
        <x:v>0</x:v>
      </x:c>
      <x:c r="E17" s="15" t="n">
        <x:f>SUMIFS('Giao dich'!$E$2:$E$101,'Giao dich'!$D$2:$D$101,A17,'Giao dich'!$C$2:$C$101,"Ban")</x:f>
        <x:v>0</x:v>
      </x:c>
      <x:c r="F17" s="15" t="n">
        <x:f>C17+D17-E17</x:f>
        <x:v>0</x:v>
      </x:c>
      <x:c r="G17" s="18" t="str">
        <x:f>VLOOKUP(A17,'San pham'!$A$2:$G$51,5,FALSE)</x:f>
      </x:c>
      <x:c r="H17" s="18" t="n">
        <x:f>F17*G17</x:f>
        <x:v>0</x:v>
      </x:c>
      <x:c r="I17" s="15" t="str">
        <x:f>VLOOKUP(A17,'San pham'!$A$2:$G$51,7,FALSE)</x:f>
      </x:c>
      <x:c r="J17" s="12" t="str">
        <x:f>IF(A17="","",IF(F17&lt;=I17,"Can nhap","Du hang"))</x:f>
      </x:c>
      <x:c r="K17" s="2"/>
      <x:c r="L17" s="2"/>
      <x:c r="M17" s="2"/>
    </x:row>
    <x:row r="18" ht="22" customHeight="1">
      <x:c r="A18" s="12"/>
      <x:c r="B18" s="12"/>
      <x:c r="C18" s="15" t="str">
        <x:f>VLOOKUP(A18,'San pham'!$A$2:$G$51,4,FALSE)</x:f>
      </x:c>
      <x:c r="D18" s="15" t="n">
        <x:f>SUMIFS('Giao dich'!$E$2:$E$101,'Giao dich'!$D$2:$D$101,A18,'Giao dich'!$C$2:$C$101,"Nhap")</x:f>
        <x:v>0</x:v>
      </x:c>
      <x:c r="E18" s="15" t="n">
        <x:f>SUMIFS('Giao dich'!$E$2:$E$101,'Giao dich'!$D$2:$D$101,A18,'Giao dich'!$C$2:$C$101,"Ban")</x:f>
        <x:v>0</x:v>
      </x:c>
      <x:c r="F18" s="15" t="n">
        <x:f>C18+D18-E18</x:f>
        <x:v>0</x:v>
      </x:c>
      <x:c r="G18" s="18" t="str">
        <x:f>VLOOKUP(A18,'San pham'!$A$2:$G$51,5,FALSE)</x:f>
      </x:c>
      <x:c r="H18" s="18" t="n">
        <x:f>F18*G18</x:f>
        <x:v>0</x:v>
      </x:c>
      <x:c r="I18" s="15" t="str">
        <x:f>VLOOKUP(A18,'San pham'!$A$2:$G$51,7,FALSE)</x:f>
      </x:c>
      <x:c r="J18" s="12" t="str">
        <x:f>IF(A18="","",IF(F18&lt;=I18,"Can nhap","Du hang"))</x:f>
      </x:c>
      <x:c r="K18" s="2"/>
      <x:c r="L18" s="2"/>
      <x:c r="M18" s="2"/>
    </x:row>
    <x:row r="19" ht="22" customHeight="1">
      <x:c r="A19" s="12"/>
      <x:c r="B19" s="12"/>
      <x:c r="C19" s="15" t="str">
        <x:f>VLOOKUP(A19,'San pham'!$A$2:$G$51,4,FALSE)</x:f>
      </x:c>
      <x:c r="D19" s="15" t="n">
        <x:f>SUMIFS('Giao dich'!$E$2:$E$101,'Giao dich'!$D$2:$D$101,A19,'Giao dich'!$C$2:$C$101,"Nhap")</x:f>
        <x:v>0</x:v>
      </x:c>
      <x:c r="E19" s="15" t="n">
        <x:f>SUMIFS('Giao dich'!$E$2:$E$101,'Giao dich'!$D$2:$D$101,A19,'Giao dich'!$C$2:$C$101,"Ban")</x:f>
        <x:v>0</x:v>
      </x:c>
      <x:c r="F19" s="15" t="n">
        <x:f>C19+D19-E19</x:f>
        <x:v>0</x:v>
      </x:c>
      <x:c r="G19" s="18" t="str">
        <x:f>VLOOKUP(A19,'San pham'!$A$2:$G$51,5,FALSE)</x:f>
      </x:c>
      <x:c r="H19" s="18" t="n">
        <x:f>F19*G19</x:f>
        <x:v>0</x:v>
      </x:c>
      <x:c r="I19" s="15" t="str">
        <x:f>VLOOKUP(A19,'San pham'!$A$2:$G$51,7,FALSE)</x:f>
      </x:c>
      <x:c r="J19" s="12" t="str">
        <x:f>IF(A19="","",IF(F19&lt;=I19,"Can nhap","Du hang"))</x:f>
      </x:c>
      <x:c r="K19" s="2"/>
      <x:c r="L19" s="2"/>
      <x:c r="M19" s="2"/>
    </x:row>
    <x:row r="20" ht="22" customHeight="1">
      <x:c r="A20" s="12"/>
      <x:c r="B20" s="12"/>
      <x:c r="C20" s="15" t="str">
        <x:f>VLOOKUP(A20,'San pham'!$A$2:$G$51,4,FALSE)</x:f>
      </x:c>
      <x:c r="D20" s="15" t="n">
        <x:f>SUMIFS('Giao dich'!$E$2:$E$101,'Giao dich'!$D$2:$D$101,A20,'Giao dich'!$C$2:$C$101,"Nhap")</x:f>
        <x:v>0</x:v>
      </x:c>
      <x:c r="E20" s="15" t="n">
        <x:f>SUMIFS('Giao dich'!$E$2:$E$101,'Giao dich'!$D$2:$D$101,A20,'Giao dich'!$C$2:$C$101,"Ban")</x:f>
        <x:v>0</x:v>
      </x:c>
      <x:c r="F20" s="15" t="n">
        <x:f>C20+D20-E20</x:f>
        <x:v>0</x:v>
      </x:c>
      <x:c r="G20" s="18" t="str">
        <x:f>VLOOKUP(A20,'San pham'!$A$2:$G$51,5,FALSE)</x:f>
      </x:c>
      <x:c r="H20" s="18" t="n">
        <x:f>F20*G20</x:f>
        <x:v>0</x:v>
      </x:c>
      <x:c r="I20" s="15" t="str">
        <x:f>VLOOKUP(A20,'San pham'!$A$2:$G$51,7,FALSE)</x:f>
      </x:c>
      <x:c r="J20" s="12" t="str">
        <x:f>IF(A20="","",IF(F20&lt;=I20,"Can nhap","Du hang"))</x:f>
      </x:c>
      <x:c r="K20" s="2"/>
      <x:c r="L20" s="2"/>
      <x:c r="M20" s="2"/>
    </x:row>
    <x:row r="21" ht="22" customHeight="1">
      <x:c r="A21" s="12"/>
      <x:c r="B21" s="12"/>
      <x:c r="C21" s="15" t="str">
        <x:f>VLOOKUP(A21,'San pham'!$A$2:$G$51,4,FALSE)</x:f>
      </x:c>
      <x:c r="D21" s="15" t="n">
        <x:f>SUMIFS('Giao dich'!$E$2:$E$101,'Giao dich'!$D$2:$D$101,A21,'Giao dich'!$C$2:$C$101,"Nhap")</x:f>
        <x:v>0</x:v>
      </x:c>
      <x:c r="E21" s="15" t="n">
        <x:f>SUMIFS('Giao dich'!$E$2:$E$101,'Giao dich'!$D$2:$D$101,A21,'Giao dich'!$C$2:$C$101,"Ban")</x:f>
        <x:v>0</x:v>
      </x:c>
      <x:c r="F21" s="15" t="n">
        <x:f>C21+D21-E21</x:f>
        <x:v>0</x:v>
      </x:c>
      <x:c r="G21" s="18" t="str">
        <x:f>VLOOKUP(A21,'San pham'!$A$2:$G$51,5,FALSE)</x:f>
      </x:c>
      <x:c r="H21" s="18" t="n">
        <x:f>F21*G21</x:f>
        <x:v>0</x:v>
      </x:c>
      <x:c r="I21" s="15" t="str">
        <x:f>VLOOKUP(A21,'San pham'!$A$2:$G$51,7,FALSE)</x:f>
      </x:c>
      <x:c r="J21" s="12" t="str">
        <x:f>IF(A21="","",IF(F21&lt;=I21,"Can nhap","Du hang"))</x:f>
      </x:c>
      <x:c r="K21" s="2"/>
      <x:c r="L21" s="2"/>
      <x:c r="M21" s="2"/>
    </x:row>
    <x:row r="22" ht="22" customHeight="1">
      <x:c r="A22" s="12"/>
      <x:c r="B22" s="12"/>
      <x:c r="C22" s="15" t="str">
        <x:f>VLOOKUP(A22,'San pham'!$A$2:$G$51,4,FALSE)</x:f>
      </x:c>
      <x:c r="D22" s="15" t="n">
        <x:f>SUMIFS('Giao dich'!$E$2:$E$101,'Giao dich'!$D$2:$D$101,A22,'Giao dich'!$C$2:$C$101,"Nhap")</x:f>
        <x:v>0</x:v>
      </x:c>
      <x:c r="E22" s="15" t="n">
        <x:f>SUMIFS('Giao dich'!$E$2:$E$101,'Giao dich'!$D$2:$D$101,A22,'Giao dich'!$C$2:$C$101,"Ban")</x:f>
        <x:v>0</x:v>
      </x:c>
      <x:c r="F22" s="15" t="n">
        <x:f>C22+D22-E22</x:f>
        <x:v>0</x:v>
      </x:c>
      <x:c r="G22" s="18" t="str">
        <x:f>VLOOKUP(A22,'San pham'!$A$2:$G$51,5,FALSE)</x:f>
      </x:c>
      <x:c r="H22" s="18" t="n">
        <x:f>F22*G22</x:f>
        <x:v>0</x:v>
      </x:c>
      <x:c r="I22" s="15" t="str">
        <x:f>VLOOKUP(A22,'San pham'!$A$2:$G$51,7,FALSE)</x:f>
      </x:c>
      <x:c r="J22" s="12" t="str">
        <x:f>IF(A22="","",IF(F22&lt;=I22,"Can nhap","Du hang"))</x:f>
      </x:c>
      <x:c r="K22" s="2"/>
      <x:c r="L22" s="2"/>
      <x:c r="M22" s="2"/>
    </x:row>
    <x:row r="23" ht="22" customHeight="1">
      <x:c r="A23" s="12"/>
      <x:c r="B23" s="12"/>
      <x:c r="C23" s="15" t="str">
        <x:f>VLOOKUP(A23,'San pham'!$A$2:$G$51,4,FALSE)</x:f>
      </x:c>
      <x:c r="D23" s="15" t="n">
        <x:f>SUMIFS('Giao dich'!$E$2:$E$101,'Giao dich'!$D$2:$D$101,A23,'Giao dich'!$C$2:$C$101,"Nhap")</x:f>
        <x:v>0</x:v>
      </x:c>
      <x:c r="E23" s="15" t="n">
        <x:f>SUMIFS('Giao dich'!$E$2:$E$101,'Giao dich'!$D$2:$D$101,A23,'Giao dich'!$C$2:$C$101,"Ban")</x:f>
        <x:v>0</x:v>
      </x:c>
      <x:c r="F23" s="15" t="n">
        <x:f>C23+D23-E23</x:f>
        <x:v>0</x:v>
      </x:c>
      <x:c r="G23" s="18" t="str">
        <x:f>VLOOKUP(A23,'San pham'!$A$2:$G$51,5,FALSE)</x:f>
      </x:c>
      <x:c r="H23" s="18" t="n">
        <x:f>F23*G23</x:f>
        <x:v>0</x:v>
      </x:c>
      <x:c r="I23" s="15" t="str">
        <x:f>VLOOKUP(A23,'San pham'!$A$2:$G$51,7,FALSE)</x:f>
      </x:c>
      <x:c r="J23" s="12" t="str">
        <x:f>IF(A23="","",IF(F23&lt;=I23,"Can nhap","Du hang"))</x:f>
      </x:c>
      <x:c r="K23" s="2"/>
      <x:c r="L23" s="2"/>
      <x:c r="M23" s="2"/>
    </x:row>
    <x:row r="24" ht="22" customHeight="1">
      <x:c r="A24" s="12"/>
      <x:c r="B24" s="12"/>
      <x:c r="C24" s="15" t="str">
        <x:f>VLOOKUP(A24,'San pham'!$A$2:$G$51,4,FALSE)</x:f>
      </x:c>
      <x:c r="D24" s="15" t="n">
        <x:f>SUMIFS('Giao dich'!$E$2:$E$101,'Giao dich'!$D$2:$D$101,A24,'Giao dich'!$C$2:$C$101,"Nhap")</x:f>
        <x:v>0</x:v>
      </x:c>
      <x:c r="E24" s="15" t="n">
        <x:f>SUMIFS('Giao dich'!$E$2:$E$101,'Giao dich'!$D$2:$D$101,A24,'Giao dich'!$C$2:$C$101,"Ban")</x:f>
        <x:v>0</x:v>
      </x:c>
      <x:c r="F24" s="15" t="n">
        <x:f>C24+D24-E24</x:f>
        <x:v>0</x:v>
      </x:c>
      <x:c r="G24" s="18" t="str">
        <x:f>VLOOKUP(A24,'San pham'!$A$2:$G$51,5,FALSE)</x:f>
      </x:c>
      <x:c r="H24" s="18" t="n">
        <x:f>F24*G24</x:f>
        <x:v>0</x:v>
      </x:c>
      <x:c r="I24" s="15" t="str">
        <x:f>VLOOKUP(A24,'San pham'!$A$2:$G$51,7,FALSE)</x:f>
      </x:c>
      <x:c r="J24" s="12" t="str">
        <x:f>IF(A24="","",IF(F24&lt;=I24,"Can nhap","Du hang"))</x:f>
      </x:c>
      <x:c r="K24" s="2"/>
      <x:c r="L24" s="2"/>
      <x:c r="M24" s="2"/>
    </x:row>
    <x:row r="25" ht="22" customHeight="1">
      <x:c r="A25" s="12"/>
      <x:c r="B25" s="12"/>
      <x:c r="C25" s="15" t="str">
        <x:f>VLOOKUP(A25,'San pham'!$A$2:$G$51,4,FALSE)</x:f>
      </x:c>
      <x:c r="D25" s="15" t="n">
        <x:f>SUMIFS('Giao dich'!$E$2:$E$101,'Giao dich'!$D$2:$D$101,A25,'Giao dich'!$C$2:$C$101,"Nhap")</x:f>
        <x:v>0</x:v>
      </x:c>
      <x:c r="E25" s="15" t="n">
        <x:f>SUMIFS('Giao dich'!$E$2:$E$101,'Giao dich'!$D$2:$D$101,A25,'Giao dich'!$C$2:$C$101,"Ban")</x:f>
        <x:v>0</x:v>
      </x:c>
      <x:c r="F25" s="15" t="n">
        <x:f>C25+D25-E25</x:f>
        <x:v>0</x:v>
      </x:c>
      <x:c r="G25" s="18" t="str">
        <x:f>VLOOKUP(A25,'San pham'!$A$2:$G$51,5,FALSE)</x:f>
      </x:c>
      <x:c r="H25" s="18" t="n">
        <x:f>F25*G25</x:f>
        <x:v>0</x:v>
      </x:c>
      <x:c r="I25" s="15" t="str">
        <x:f>VLOOKUP(A25,'San pham'!$A$2:$G$51,7,FALSE)</x:f>
      </x:c>
      <x:c r="J25" s="12" t="str">
        <x:f>IF(A25="","",IF(F25&lt;=I25,"Can nhap","Du hang"))</x:f>
      </x:c>
      <x:c r="K25" s="2"/>
      <x:c r="L25" s="2"/>
      <x:c r="M25" s="2"/>
    </x:row>
    <x:row r="26" ht="22" customHeight="1">
      <x:c r="A26" s="12"/>
      <x:c r="B26" s="12"/>
      <x:c r="C26" s="15" t="str">
        <x:f>VLOOKUP(A26,'San pham'!$A$2:$G$51,4,FALSE)</x:f>
      </x:c>
      <x:c r="D26" s="15" t="n">
        <x:f>SUMIFS('Giao dich'!$E$2:$E$101,'Giao dich'!$D$2:$D$101,A26,'Giao dich'!$C$2:$C$101,"Nhap")</x:f>
        <x:v>0</x:v>
      </x:c>
      <x:c r="E26" s="15" t="n">
        <x:f>SUMIFS('Giao dich'!$E$2:$E$101,'Giao dich'!$D$2:$D$101,A26,'Giao dich'!$C$2:$C$101,"Ban")</x:f>
        <x:v>0</x:v>
      </x:c>
      <x:c r="F26" s="15" t="n">
        <x:f>C26+D26-E26</x:f>
        <x:v>0</x:v>
      </x:c>
      <x:c r="G26" s="18" t="str">
        <x:f>VLOOKUP(A26,'San pham'!$A$2:$G$51,5,FALSE)</x:f>
      </x:c>
      <x:c r="H26" s="18" t="n">
        <x:f>F26*G26</x:f>
        <x:v>0</x:v>
      </x:c>
      <x:c r="I26" s="15" t="str">
        <x:f>VLOOKUP(A26,'San pham'!$A$2:$G$51,7,FALSE)</x:f>
      </x:c>
      <x:c r="J26" s="12" t="str">
        <x:f>IF(A26="","",IF(F26&lt;=I26,"Can nhap","Du hang"))</x:f>
      </x:c>
      <x:c r="K26" s="2"/>
      <x:c r="L26" s="2"/>
      <x:c r="M26" s="2"/>
    </x:row>
    <x:row r="27" ht="22" customHeight="1">
      <x:c r="A27" s="12"/>
      <x:c r="B27" s="12"/>
      <x:c r="C27" s="15" t="str">
        <x:f>VLOOKUP(A27,'San pham'!$A$2:$G$51,4,FALSE)</x:f>
      </x:c>
      <x:c r="D27" s="15" t="n">
        <x:f>SUMIFS('Giao dich'!$E$2:$E$101,'Giao dich'!$D$2:$D$101,A27,'Giao dich'!$C$2:$C$101,"Nhap")</x:f>
        <x:v>0</x:v>
      </x:c>
      <x:c r="E27" s="15" t="n">
        <x:f>SUMIFS('Giao dich'!$E$2:$E$101,'Giao dich'!$D$2:$D$101,A27,'Giao dich'!$C$2:$C$101,"Ban")</x:f>
        <x:v>0</x:v>
      </x:c>
      <x:c r="F27" s="15" t="n">
        <x:f>C27+D27-E27</x:f>
        <x:v>0</x:v>
      </x:c>
      <x:c r="G27" s="18" t="str">
        <x:f>VLOOKUP(A27,'San pham'!$A$2:$G$51,5,FALSE)</x:f>
      </x:c>
      <x:c r="H27" s="18" t="n">
        <x:f>F27*G27</x:f>
        <x:v>0</x:v>
      </x:c>
      <x:c r="I27" s="15" t="str">
        <x:f>VLOOKUP(A27,'San pham'!$A$2:$G$51,7,FALSE)</x:f>
      </x:c>
      <x:c r="J27" s="12" t="str">
        <x:f>IF(A27="","",IF(F27&lt;=I27,"Can nhap","Du hang"))</x:f>
      </x:c>
      <x:c r="K27" s="2"/>
      <x:c r="L27" s="2"/>
      <x:c r="M27" s="2"/>
    </x:row>
    <x:row r="28" ht="22" customHeight="1">
      <x:c r="A28" s="12"/>
      <x:c r="B28" s="12"/>
      <x:c r="C28" s="15" t="str">
        <x:f>VLOOKUP(A28,'San pham'!$A$2:$G$51,4,FALSE)</x:f>
      </x:c>
      <x:c r="D28" s="15" t="n">
        <x:f>SUMIFS('Giao dich'!$E$2:$E$101,'Giao dich'!$D$2:$D$101,A28,'Giao dich'!$C$2:$C$101,"Nhap")</x:f>
        <x:v>0</x:v>
      </x:c>
      <x:c r="E28" s="15" t="n">
        <x:f>SUMIFS('Giao dich'!$E$2:$E$101,'Giao dich'!$D$2:$D$101,A28,'Giao dich'!$C$2:$C$101,"Ban")</x:f>
        <x:v>0</x:v>
      </x:c>
      <x:c r="F28" s="15" t="n">
        <x:f>C28+D28-E28</x:f>
        <x:v>0</x:v>
      </x:c>
      <x:c r="G28" s="18" t="str">
        <x:f>VLOOKUP(A28,'San pham'!$A$2:$G$51,5,FALSE)</x:f>
      </x:c>
      <x:c r="H28" s="18" t="n">
        <x:f>F28*G28</x:f>
        <x:v>0</x:v>
      </x:c>
      <x:c r="I28" s="15" t="str">
        <x:f>VLOOKUP(A28,'San pham'!$A$2:$G$51,7,FALSE)</x:f>
      </x:c>
      <x:c r="J28" s="12" t="str">
        <x:f>IF(A28="","",IF(F28&lt;=I28,"Can nhap","Du hang"))</x:f>
      </x:c>
      <x:c r="K28" s="2"/>
      <x:c r="L28" s="2"/>
      <x:c r="M28" s="2"/>
    </x:row>
    <x:row r="29" ht="22" customHeight="1">
      <x:c r="A29" s="12"/>
      <x:c r="B29" s="12"/>
      <x:c r="C29" s="15" t="str">
        <x:f>VLOOKUP(A29,'San pham'!$A$2:$G$51,4,FALSE)</x:f>
      </x:c>
      <x:c r="D29" s="15" t="n">
        <x:f>SUMIFS('Giao dich'!$E$2:$E$101,'Giao dich'!$D$2:$D$101,A29,'Giao dich'!$C$2:$C$101,"Nhap")</x:f>
        <x:v>0</x:v>
      </x:c>
      <x:c r="E29" s="15" t="n">
        <x:f>SUMIFS('Giao dich'!$E$2:$E$101,'Giao dich'!$D$2:$D$101,A29,'Giao dich'!$C$2:$C$101,"Ban")</x:f>
        <x:v>0</x:v>
      </x:c>
      <x:c r="F29" s="15" t="n">
        <x:f>C29+D29-E29</x:f>
        <x:v>0</x:v>
      </x:c>
      <x:c r="G29" s="18" t="str">
        <x:f>VLOOKUP(A29,'San pham'!$A$2:$G$51,5,FALSE)</x:f>
      </x:c>
      <x:c r="H29" s="18" t="n">
        <x:f>F29*G29</x:f>
        <x:v>0</x:v>
      </x:c>
      <x:c r="I29" s="15" t="str">
        <x:f>VLOOKUP(A29,'San pham'!$A$2:$G$51,7,FALSE)</x:f>
      </x:c>
      <x:c r="J29" s="12" t="str">
        <x:f>IF(A29="","",IF(F29&lt;=I29,"Can nhap","Du hang"))</x:f>
      </x:c>
      <x:c r="K29" s="2"/>
      <x:c r="L29" s="2"/>
      <x:c r="M29" s="2"/>
    </x:row>
    <x:row r="30" ht="22" customHeight="1">
      <x:c r="A30" s="12"/>
      <x:c r="B30" s="12"/>
      <x:c r="C30" s="15" t="str">
        <x:f>VLOOKUP(A30,'San pham'!$A$2:$G$51,4,FALSE)</x:f>
      </x:c>
      <x:c r="D30" s="15" t="n">
        <x:f>SUMIFS('Giao dich'!$E$2:$E$101,'Giao dich'!$D$2:$D$101,A30,'Giao dich'!$C$2:$C$101,"Nhap")</x:f>
        <x:v>0</x:v>
      </x:c>
      <x:c r="E30" s="15" t="n">
        <x:f>SUMIFS('Giao dich'!$E$2:$E$101,'Giao dich'!$D$2:$D$101,A30,'Giao dich'!$C$2:$C$101,"Ban")</x:f>
        <x:v>0</x:v>
      </x:c>
      <x:c r="F30" s="15" t="n">
        <x:f>C30+D30-E30</x:f>
        <x:v>0</x:v>
      </x:c>
      <x:c r="G30" s="18" t="str">
        <x:f>VLOOKUP(A30,'San pham'!$A$2:$G$51,5,FALSE)</x:f>
      </x:c>
      <x:c r="H30" s="18" t="n">
        <x:f>F30*G30</x:f>
        <x:v>0</x:v>
      </x:c>
      <x:c r="I30" s="15" t="str">
        <x:f>VLOOKUP(A30,'San pham'!$A$2:$G$51,7,FALSE)</x:f>
      </x:c>
      <x:c r="J30" s="12" t="str">
        <x:f>IF(A30="","",IF(F30&lt;=I30,"Can nhap","Du hang"))</x:f>
      </x:c>
      <x:c r="K30" s="2"/>
      <x:c r="L30" s="2"/>
      <x:c r="M30" s="2"/>
    </x:row>
    <x:row r="31" ht="22" customHeight="1">
      <x:c r="A31" s="12"/>
      <x:c r="B31" s="12"/>
      <x:c r="C31" s="15" t="str">
        <x:f>VLOOKUP(A31,'San pham'!$A$2:$G$51,4,FALSE)</x:f>
      </x:c>
      <x:c r="D31" s="15" t="n">
        <x:f>SUMIFS('Giao dich'!$E$2:$E$101,'Giao dich'!$D$2:$D$101,A31,'Giao dich'!$C$2:$C$101,"Nhap")</x:f>
        <x:v>0</x:v>
      </x:c>
      <x:c r="E31" s="15" t="n">
        <x:f>SUMIFS('Giao dich'!$E$2:$E$101,'Giao dich'!$D$2:$D$101,A31,'Giao dich'!$C$2:$C$101,"Ban")</x:f>
        <x:v>0</x:v>
      </x:c>
      <x:c r="F31" s="15" t="n">
        <x:f>C31+D31-E31</x:f>
        <x:v>0</x:v>
      </x:c>
      <x:c r="G31" s="18" t="str">
        <x:f>VLOOKUP(A31,'San pham'!$A$2:$G$51,5,FALSE)</x:f>
      </x:c>
      <x:c r="H31" s="18" t="n">
        <x:f>F31*G31</x:f>
        <x:v>0</x:v>
      </x:c>
      <x:c r="I31" s="15" t="str">
        <x:f>VLOOKUP(A31,'San pham'!$A$2:$G$51,7,FALSE)</x:f>
      </x:c>
      <x:c r="J31" s="12" t="str">
        <x:f>IF(A31="","",IF(F31&lt;=I31,"Can nhap","Du hang"))</x:f>
      </x:c>
      <x:c r="K31" s="2"/>
      <x:c r="L31" s="2"/>
      <x:c r="M31" s="2"/>
    </x:row>
    <x:row r="32" ht="22" customHeight="1">
      <x:c r="A32" s="12"/>
      <x:c r="B32" s="12"/>
      <x:c r="C32" s="15" t="str">
        <x:f>VLOOKUP(A32,'San pham'!$A$2:$G$51,4,FALSE)</x:f>
      </x:c>
      <x:c r="D32" s="15" t="n">
        <x:f>SUMIFS('Giao dich'!$E$2:$E$101,'Giao dich'!$D$2:$D$101,A32,'Giao dich'!$C$2:$C$101,"Nhap")</x:f>
        <x:v>0</x:v>
      </x:c>
      <x:c r="E32" s="15" t="n">
        <x:f>SUMIFS('Giao dich'!$E$2:$E$101,'Giao dich'!$D$2:$D$101,A32,'Giao dich'!$C$2:$C$101,"Ban")</x:f>
        <x:v>0</x:v>
      </x:c>
      <x:c r="F32" s="15" t="n">
        <x:f>C32+D32-E32</x:f>
        <x:v>0</x:v>
      </x:c>
      <x:c r="G32" s="18" t="str">
        <x:f>VLOOKUP(A32,'San pham'!$A$2:$G$51,5,FALSE)</x:f>
      </x:c>
      <x:c r="H32" s="18" t="n">
        <x:f>F32*G32</x:f>
        <x:v>0</x:v>
      </x:c>
      <x:c r="I32" s="15" t="str">
        <x:f>VLOOKUP(A32,'San pham'!$A$2:$G$51,7,FALSE)</x:f>
      </x:c>
      <x:c r="J32" s="12" t="str">
        <x:f>IF(A32="","",IF(F32&lt;=I32,"Can nhap","Du hang"))</x:f>
      </x:c>
      <x:c r="K32" s="2"/>
      <x:c r="L32" s="2"/>
      <x:c r="M32" s="2"/>
    </x:row>
    <x:row r="33" ht="22" customHeight="1">
      <x:c r="A33" s="12"/>
      <x:c r="B33" s="12"/>
      <x:c r="C33" s="15" t="str">
        <x:f>VLOOKUP(A33,'San pham'!$A$2:$G$51,4,FALSE)</x:f>
      </x:c>
      <x:c r="D33" s="15" t="n">
        <x:f>SUMIFS('Giao dich'!$E$2:$E$101,'Giao dich'!$D$2:$D$101,A33,'Giao dich'!$C$2:$C$101,"Nhap")</x:f>
        <x:v>0</x:v>
      </x:c>
      <x:c r="E33" s="15" t="n">
        <x:f>SUMIFS('Giao dich'!$E$2:$E$101,'Giao dich'!$D$2:$D$101,A33,'Giao dich'!$C$2:$C$101,"Ban")</x:f>
        <x:v>0</x:v>
      </x:c>
      <x:c r="F33" s="15" t="n">
        <x:f>C33+D33-E33</x:f>
        <x:v>0</x:v>
      </x:c>
      <x:c r="G33" s="18" t="str">
        <x:f>VLOOKUP(A33,'San pham'!$A$2:$G$51,5,FALSE)</x:f>
      </x:c>
      <x:c r="H33" s="18" t="n">
        <x:f>F33*G33</x:f>
        <x:v>0</x:v>
      </x:c>
      <x:c r="I33" s="15" t="str">
        <x:f>VLOOKUP(A33,'San pham'!$A$2:$G$51,7,FALSE)</x:f>
      </x:c>
      <x:c r="J33" s="12" t="str">
        <x:f>IF(A33="","",IF(F33&lt;=I33,"Can nhap","Du hang"))</x:f>
      </x:c>
      <x:c r="K33" s="2"/>
      <x:c r="L33" s="2"/>
      <x:c r="M33" s="2"/>
    </x:row>
    <x:row r="34" ht="22" customHeight="1">
      <x:c r="A34" s="12"/>
      <x:c r="B34" s="12"/>
      <x:c r="C34" s="15" t="str">
        <x:f>VLOOKUP(A34,'San pham'!$A$2:$G$51,4,FALSE)</x:f>
      </x:c>
      <x:c r="D34" s="15" t="n">
        <x:f>SUMIFS('Giao dich'!$E$2:$E$101,'Giao dich'!$D$2:$D$101,A34,'Giao dich'!$C$2:$C$101,"Nhap")</x:f>
        <x:v>0</x:v>
      </x:c>
      <x:c r="E34" s="15" t="n">
        <x:f>SUMIFS('Giao dich'!$E$2:$E$101,'Giao dich'!$D$2:$D$101,A34,'Giao dich'!$C$2:$C$101,"Ban")</x:f>
        <x:v>0</x:v>
      </x:c>
      <x:c r="F34" s="15" t="n">
        <x:f>C34+D34-E34</x:f>
        <x:v>0</x:v>
      </x:c>
      <x:c r="G34" s="18" t="str">
        <x:f>VLOOKUP(A34,'San pham'!$A$2:$G$51,5,FALSE)</x:f>
      </x:c>
      <x:c r="H34" s="18" t="n">
        <x:f>F34*G34</x:f>
        <x:v>0</x:v>
      </x:c>
      <x:c r="I34" s="15" t="str">
        <x:f>VLOOKUP(A34,'San pham'!$A$2:$G$51,7,FALSE)</x:f>
      </x:c>
      <x:c r="J34" s="12" t="str">
        <x:f>IF(A34="","",IF(F34&lt;=I34,"Can nhap","Du hang"))</x:f>
      </x:c>
      <x:c r="K34" s="2"/>
      <x:c r="L34" s="2"/>
      <x:c r="M34" s="2"/>
    </x:row>
    <x:row r="35" ht="22" customHeight="1">
      <x:c r="A35" s="12"/>
      <x:c r="B35" s="12"/>
      <x:c r="C35" s="15" t="str">
        <x:f>VLOOKUP(A35,'San pham'!$A$2:$G$51,4,FALSE)</x:f>
      </x:c>
      <x:c r="D35" s="15" t="n">
        <x:f>SUMIFS('Giao dich'!$E$2:$E$101,'Giao dich'!$D$2:$D$101,A35,'Giao dich'!$C$2:$C$101,"Nhap")</x:f>
        <x:v>0</x:v>
      </x:c>
      <x:c r="E35" s="15" t="n">
        <x:f>SUMIFS('Giao dich'!$E$2:$E$101,'Giao dich'!$D$2:$D$101,A35,'Giao dich'!$C$2:$C$101,"Ban")</x:f>
        <x:v>0</x:v>
      </x:c>
      <x:c r="F35" s="15" t="n">
        <x:f>C35+D35-E35</x:f>
        <x:v>0</x:v>
      </x:c>
      <x:c r="G35" s="18" t="str">
        <x:f>VLOOKUP(A35,'San pham'!$A$2:$G$51,5,FALSE)</x:f>
      </x:c>
      <x:c r="H35" s="18" t="n">
        <x:f>F35*G35</x:f>
        <x:v>0</x:v>
      </x:c>
      <x:c r="I35" s="15" t="str">
        <x:f>VLOOKUP(A35,'San pham'!$A$2:$G$51,7,FALSE)</x:f>
      </x:c>
      <x:c r="J35" s="12" t="str">
        <x:f>IF(A35="","",IF(F35&lt;=I35,"Can nhap","Du hang"))</x:f>
      </x:c>
      <x:c r="K35" s="2"/>
      <x:c r="L35" s="2"/>
      <x:c r="M35" s="2"/>
    </x:row>
    <x:row r="36" ht="22" customHeight="1">
      <x:c r="A36" s="12"/>
      <x:c r="B36" s="12"/>
      <x:c r="C36" s="15" t="str">
        <x:f>VLOOKUP(A36,'San pham'!$A$2:$G$51,4,FALSE)</x:f>
      </x:c>
      <x:c r="D36" s="15" t="n">
        <x:f>SUMIFS('Giao dich'!$E$2:$E$101,'Giao dich'!$D$2:$D$101,A36,'Giao dich'!$C$2:$C$101,"Nhap")</x:f>
        <x:v>0</x:v>
      </x:c>
      <x:c r="E36" s="15" t="n">
        <x:f>SUMIFS('Giao dich'!$E$2:$E$101,'Giao dich'!$D$2:$D$101,A36,'Giao dich'!$C$2:$C$101,"Ban")</x:f>
        <x:v>0</x:v>
      </x:c>
      <x:c r="F36" s="15" t="n">
        <x:f>C36+D36-E36</x:f>
        <x:v>0</x:v>
      </x:c>
      <x:c r="G36" s="18" t="str">
        <x:f>VLOOKUP(A36,'San pham'!$A$2:$G$51,5,FALSE)</x:f>
      </x:c>
      <x:c r="H36" s="18" t="n">
        <x:f>F36*G36</x:f>
        <x:v>0</x:v>
      </x:c>
      <x:c r="I36" s="15" t="str">
        <x:f>VLOOKUP(A36,'San pham'!$A$2:$G$51,7,FALSE)</x:f>
      </x:c>
      <x:c r="J36" s="12" t="str">
        <x:f>IF(A36="","",IF(F36&lt;=I36,"Can nhap","Du hang"))</x:f>
      </x:c>
      <x:c r="K36" s="2"/>
      <x:c r="L36" s="2"/>
      <x:c r="M36" s="2"/>
    </x:row>
    <x:row r="37" ht="22" customHeight="1">
      <x:c r="A37" s="12"/>
      <x:c r="B37" s="12"/>
      <x:c r="C37" s="15" t="str">
        <x:f>VLOOKUP(A37,'San pham'!$A$2:$G$51,4,FALSE)</x:f>
      </x:c>
      <x:c r="D37" s="15" t="n">
        <x:f>SUMIFS('Giao dich'!$E$2:$E$101,'Giao dich'!$D$2:$D$101,A37,'Giao dich'!$C$2:$C$101,"Nhap")</x:f>
        <x:v>0</x:v>
      </x:c>
      <x:c r="E37" s="15" t="n">
        <x:f>SUMIFS('Giao dich'!$E$2:$E$101,'Giao dich'!$D$2:$D$101,A37,'Giao dich'!$C$2:$C$101,"Ban")</x:f>
        <x:v>0</x:v>
      </x:c>
      <x:c r="F37" s="15" t="n">
        <x:f>C37+D37-E37</x:f>
        <x:v>0</x:v>
      </x:c>
      <x:c r="G37" s="18" t="str">
        <x:f>VLOOKUP(A37,'San pham'!$A$2:$G$51,5,FALSE)</x:f>
      </x:c>
      <x:c r="H37" s="18" t="n">
        <x:f>F37*G37</x:f>
        <x:v>0</x:v>
      </x:c>
      <x:c r="I37" s="15" t="str">
        <x:f>VLOOKUP(A37,'San pham'!$A$2:$G$51,7,FALSE)</x:f>
      </x:c>
      <x:c r="J37" s="12" t="str">
        <x:f>IF(A37="","",IF(F37&lt;=I37,"Can nhap","Du hang"))</x:f>
      </x:c>
      <x:c r="K37" s="2"/>
      <x:c r="L37" s="2"/>
      <x:c r="M37" s="2"/>
    </x:row>
    <x:row r="38" ht="22" customHeight="1">
      <x:c r="A38" s="12"/>
      <x:c r="B38" s="12"/>
      <x:c r="C38" s="15" t="str">
        <x:f>VLOOKUP(A38,'San pham'!$A$2:$G$51,4,FALSE)</x:f>
      </x:c>
      <x:c r="D38" s="15" t="n">
        <x:f>SUMIFS('Giao dich'!$E$2:$E$101,'Giao dich'!$D$2:$D$101,A38,'Giao dich'!$C$2:$C$101,"Nhap")</x:f>
        <x:v>0</x:v>
      </x:c>
      <x:c r="E38" s="15" t="n">
        <x:f>SUMIFS('Giao dich'!$E$2:$E$101,'Giao dich'!$D$2:$D$101,A38,'Giao dich'!$C$2:$C$101,"Ban")</x:f>
        <x:v>0</x:v>
      </x:c>
      <x:c r="F38" s="15" t="n">
        <x:f>C38+D38-E38</x:f>
        <x:v>0</x:v>
      </x:c>
      <x:c r="G38" s="18" t="str">
        <x:f>VLOOKUP(A38,'San pham'!$A$2:$G$51,5,FALSE)</x:f>
      </x:c>
      <x:c r="H38" s="18" t="n">
        <x:f>F38*G38</x:f>
        <x:v>0</x:v>
      </x:c>
      <x:c r="I38" s="15" t="str">
        <x:f>VLOOKUP(A38,'San pham'!$A$2:$G$51,7,FALSE)</x:f>
      </x:c>
      <x:c r="J38" s="12" t="str">
        <x:f>IF(A38="","",IF(F38&lt;=I38,"Can nhap","Du hang"))</x:f>
      </x:c>
      <x:c r="K38" s="2"/>
      <x:c r="L38" s="2"/>
      <x:c r="M38" s="2"/>
    </x:row>
    <x:row r="39" ht="22" customHeight="1">
      <x:c r="A39" s="12"/>
      <x:c r="B39" s="12"/>
      <x:c r="C39" s="15" t="str">
        <x:f>VLOOKUP(A39,'San pham'!$A$2:$G$51,4,FALSE)</x:f>
      </x:c>
      <x:c r="D39" s="15" t="n">
        <x:f>SUMIFS('Giao dich'!$E$2:$E$101,'Giao dich'!$D$2:$D$101,A39,'Giao dich'!$C$2:$C$101,"Nhap")</x:f>
        <x:v>0</x:v>
      </x:c>
      <x:c r="E39" s="15" t="n">
        <x:f>SUMIFS('Giao dich'!$E$2:$E$101,'Giao dich'!$D$2:$D$101,A39,'Giao dich'!$C$2:$C$101,"Ban")</x:f>
        <x:v>0</x:v>
      </x:c>
      <x:c r="F39" s="15" t="n">
        <x:f>C39+D39-E39</x:f>
        <x:v>0</x:v>
      </x:c>
      <x:c r="G39" s="18" t="str">
        <x:f>VLOOKUP(A39,'San pham'!$A$2:$G$51,5,FALSE)</x:f>
      </x:c>
      <x:c r="H39" s="18" t="n">
        <x:f>F39*G39</x:f>
        <x:v>0</x:v>
      </x:c>
      <x:c r="I39" s="15" t="str">
        <x:f>VLOOKUP(A39,'San pham'!$A$2:$G$51,7,FALSE)</x:f>
      </x:c>
      <x:c r="J39" s="12" t="str">
        <x:f>IF(A39="","",IF(F39&lt;=I39,"Can nhap","Du hang"))</x:f>
      </x:c>
      <x:c r="K39" s="2"/>
      <x:c r="L39" s="2"/>
      <x:c r="M39" s="2"/>
    </x:row>
    <x:row r="40" ht="22" customHeight="1">
      <x:c r="A40" s="12"/>
      <x:c r="B40" s="12"/>
      <x:c r="C40" s="15" t="str">
        <x:f>VLOOKUP(A40,'San pham'!$A$2:$G$51,4,FALSE)</x:f>
      </x:c>
      <x:c r="D40" s="15" t="n">
        <x:f>SUMIFS('Giao dich'!$E$2:$E$101,'Giao dich'!$D$2:$D$101,A40,'Giao dich'!$C$2:$C$101,"Nhap")</x:f>
        <x:v>0</x:v>
      </x:c>
      <x:c r="E40" s="15" t="n">
        <x:f>SUMIFS('Giao dich'!$E$2:$E$101,'Giao dich'!$D$2:$D$101,A40,'Giao dich'!$C$2:$C$101,"Ban")</x:f>
        <x:v>0</x:v>
      </x:c>
      <x:c r="F40" s="15" t="n">
        <x:f>C40+D40-E40</x:f>
        <x:v>0</x:v>
      </x:c>
      <x:c r="G40" s="18" t="str">
        <x:f>VLOOKUP(A40,'San pham'!$A$2:$G$51,5,FALSE)</x:f>
      </x:c>
      <x:c r="H40" s="18" t="n">
        <x:f>F40*G40</x:f>
        <x:v>0</x:v>
      </x:c>
      <x:c r="I40" s="15" t="str">
        <x:f>VLOOKUP(A40,'San pham'!$A$2:$G$51,7,FALSE)</x:f>
      </x:c>
      <x:c r="J40" s="12" t="str">
        <x:f>IF(A40="","",IF(F40&lt;=I40,"Can nhap","Du hang"))</x:f>
      </x:c>
      <x:c r="K40" s="2"/>
      <x:c r="L40" s="2"/>
      <x:c r="M40" s="2"/>
    </x:row>
    <x:row r="41" ht="22" customHeight="1">
      <x:c r="A41" s="12"/>
      <x:c r="B41" s="12"/>
      <x:c r="C41" s="15" t="str">
        <x:f>VLOOKUP(A41,'San pham'!$A$2:$G$51,4,FALSE)</x:f>
      </x:c>
      <x:c r="D41" s="15" t="n">
        <x:f>SUMIFS('Giao dich'!$E$2:$E$101,'Giao dich'!$D$2:$D$101,A41,'Giao dich'!$C$2:$C$101,"Nhap")</x:f>
        <x:v>0</x:v>
      </x:c>
      <x:c r="E41" s="15" t="n">
        <x:f>SUMIFS('Giao dich'!$E$2:$E$101,'Giao dich'!$D$2:$D$101,A41,'Giao dich'!$C$2:$C$101,"Ban")</x:f>
        <x:v>0</x:v>
      </x:c>
      <x:c r="F41" s="15" t="n">
        <x:f>C41+D41-E41</x:f>
        <x:v>0</x:v>
      </x:c>
      <x:c r="G41" s="18" t="str">
        <x:f>VLOOKUP(A41,'San pham'!$A$2:$G$51,5,FALSE)</x:f>
      </x:c>
      <x:c r="H41" s="18" t="n">
        <x:f>F41*G41</x:f>
        <x:v>0</x:v>
      </x:c>
      <x:c r="I41" s="15" t="str">
        <x:f>VLOOKUP(A41,'San pham'!$A$2:$G$51,7,FALSE)</x:f>
      </x:c>
      <x:c r="J41" s="12" t="str">
        <x:f>IF(A41="","",IF(F41&lt;=I41,"Can nhap","Du hang"))</x:f>
      </x:c>
      <x:c r="K41" s="2"/>
      <x:c r="L41" s="2"/>
      <x:c r="M41" s="2"/>
    </x:row>
    <x:row r="42" ht="22" customHeight="1">
      <x:c r="A42" s="12"/>
      <x:c r="B42" s="12"/>
      <x:c r="C42" s="15" t="str">
        <x:f>VLOOKUP(A42,'San pham'!$A$2:$G$51,4,FALSE)</x:f>
      </x:c>
      <x:c r="D42" s="15" t="n">
        <x:f>SUMIFS('Giao dich'!$E$2:$E$101,'Giao dich'!$D$2:$D$101,A42,'Giao dich'!$C$2:$C$101,"Nhap")</x:f>
        <x:v>0</x:v>
      </x:c>
      <x:c r="E42" s="15" t="n">
        <x:f>SUMIFS('Giao dich'!$E$2:$E$101,'Giao dich'!$D$2:$D$101,A42,'Giao dich'!$C$2:$C$101,"Ban")</x:f>
        <x:v>0</x:v>
      </x:c>
      <x:c r="F42" s="15" t="n">
        <x:f>C42+D42-E42</x:f>
        <x:v>0</x:v>
      </x:c>
      <x:c r="G42" s="18" t="str">
        <x:f>VLOOKUP(A42,'San pham'!$A$2:$G$51,5,FALSE)</x:f>
      </x:c>
      <x:c r="H42" s="18" t="n">
        <x:f>F42*G42</x:f>
        <x:v>0</x:v>
      </x:c>
      <x:c r="I42" s="15" t="str">
        <x:f>VLOOKUP(A42,'San pham'!$A$2:$G$51,7,FALSE)</x:f>
      </x:c>
      <x:c r="J42" s="12" t="str">
        <x:f>IF(A42="","",IF(F42&lt;=I42,"Can nhap","Du hang"))</x:f>
      </x:c>
      <x:c r="K42" s="2"/>
      <x:c r="L42" s="2"/>
      <x:c r="M42" s="2"/>
    </x:row>
    <x:row r="43" ht="22" customHeight="1">
      <x:c r="A43" s="12"/>
      <x:c r="B43" s="12"/>
      <x:c r="C43" s="15" t="str">
        <x:f>VLOOKUP(A43,'San pham'!$A$2:$G$51,4,FALSE)</x:f>
      </x:c>
      <x:c r="D43" s="15" t="n">
        <x:f>SUMIFS('Giao dich'!$E$2:$E$101,'Giao dich'!$D$2:$D$101,A43,'Giao dich'!$C$2:$C$101,"Nhap")</x:f>
        <x:v>0</x:v>
      </x:c>
      <x:c r="E43" s="15" t="n">
        <x:f>SUMIFS('Giao dich'!$E$2:$E$101,'Giao dich'!$D$2:$D$101,A43,'Giao dich'!$C$2:$C$101,"Ban")</x:f>
        <x:v>0</x:v>
      </x:c>
      <x:c r="F43" s="15" t="n">
        <x:f>C43+D43-E43</x:f>
        <x:v>0</x:v>
      </x:c>
      <x:c r="G43" s="18" t="str">
        <x:f>VLOOKUP(A43,'San pham'!$A$2:$G$51,5,FALSE)</x:f>
      </x:c>
      <x:c r="H43" s="18" t="n">
        <x:f>F43*G43</x:f>
        <x:v>0</x:v>
      </x:c>
      <x:c r="I43" s="15" t="str">
        <x:f>VLOOKUP(A43,'San pham'!$A$2:$G$51,7,FALSE)</x:f>
      </x:c>
      <x:c r="J43" s="12" t="str">
        <x:f>IF(A43="","",IF(F43&lt;=I43,"Can nhap","Du hang"))</x:f>
      </x:c>
      <x:c r="K43" s="2"/>
      <x:c r="L43" s="2"/>
      <x:c r="M43" s="2"/>
    </x:row>
    <x:row r="44" ht="22" customHeight="1">
      <x:c r="A44" s="12"/>
      <x:c r="B44" s="12"/>
      <x:c r="C44" s="15" t="str">
        <x:f>VLOOKUP(A44,'San pham'!$A$2:$G$51,4,FALSE)</x:f>
      </x:c>
      <x:c r="D44" s="15" t="n">
        <x:f>SUMIFS('Giao dich'!$E$2:$E$101,'Giao dich'!$D$2:$D$101,A44,'Giao dich'!$C$2:$C$101,"Nhap")</x:f>
        <x:v>0</x:v>
      </x:c>
      <x:c r="E44" s="15" t="n">
        <x:f>SUMIFS('Giao dich'!$E$2:$E$101,'Giao dich'!$D$2:$D$101,A44,'Giao dich'!$C$2:$C$101,"Ban")</x:f>
        <x:v>0</x:v>
      </x:c>
      <x:c r="F44" s="15" t="n">
        <x:f>C44+D44-E44</x:f>
        <x:v>0</x:v>
      </x:c>
      <x:c r="G44" s="18" t="str">
        <x:f>VLOOKUP(A44,'San pham'!$A$2:$G$51,5,FALSE)</x:f>
      </x:c>
      <x:c r="H44" s="18" t="n">
        <x:f>F44*G44</x:f>
        <x:v>0</x:v>
      </x:c>
      <x:c r="I44" s="15" t="str">
        <x:f>VLOOKUP(A44,'San pham'!$A$2:$G$51,7,FALSE)</x:f>
      </x:c>
      <x:c r="J44" s="12" t="str">
        <x:f>IF(A44="","",IF(F44&lt;=I44,"Can nhap","Du hang"))</x:f>
      </x:c>
      <x:c r="K44" s="2"/>
      <x:c r="L44" s="2"/>
      <x:c r="M44" s="2"/>
    </x:row>
    <x:row r="45" ht="22" customHeight="1">
      <x:c r="A45" s="12"/>
      <x:c r="B45" s="12"/>
      <x:c r="C45" s="15" t="str">
        <x:f>VLOOKUP(A45,'San pham'!$A$2:$G$51,4,FALSE)</x:f>
      </x:c>
      <x:c r="D45" s="15" t="n">
        <x:f>SUMIFS('Giao dich'!$E$2:$E$101,'Giao dich'!$D$2:$D$101,A45,'Giao dich'!$C$2:$C$101,"Nhap")</x:f>
        <x:v>0</x:v>
      </x:c>
      <x:c r="E45" s="15" t="n">
        <x:f>SUMIFS('Giao dich'!$E$2:$E$101,'Giao dich'!$D$2:$D$101,A45,'Giao dich'!$C$2:$C$101,"Ban")</x:f>
        <x:v>0</x:v>
      </x:c>
      <x:c r="F45" s="15" t="n">
        <x:f>C45+D45-E45</x:f>
        <x:v>0</x:v>
      </x:c>
      <x:c r="G45" s="18" t="str">
        <x:f>VLOOKUP(A45,'San pham'!$A$2:$G$51,5,FALSE)</x:f>
      </x:c>
      <x:c r="H45" s="18" t="n">
        <x:f>F45*G45</x:f>
        <x:v>0</x:v>
      </x:c>
      <x:c r="I45" s="15" t="str">
        <x:f>VLOOKUP(A45,'San pham'!$A$2:$G$51,7,FALSE)</x:f>
      </x:c>
      <x:c r="J45" s="12" t="str">
        <x:f>IF(A45="","",IF(F45&lt;=I45,"Can nhap","Du hang"))</x:f>
      </x:c>
      <x:c r="K45" s="2"/>
      <x:c r="L45" s="2"/>
      <x:c r="M45" s="2"/>
    </x:row>
    <x:row r="46" ht="22" customHeight="1">
      <x:c r="A46" s="12"/>
      <x:c r="B46" s="12"/>
      <x:c r="C46" s="15" t="str">
        <x:f>VLOOKUP(A46,'San pham'!$A$2:$G$51,4,FALSE)</x:f>
      </x:c>
      <x:c r="D46" s="15" t="n">
        <x:f>SUMIFS('Giao dich'!$E$2:$E$101,'Giao dich'!$D$2:$D$101,A46,'Giao dich'!$C$2:$C$101,"Nhap")</x:f>
        <x:v>0</x:v>
      </x:c>
      <x:c r="E46" s="15" t="n">
        <x:f>SUMIFS('Giao dich'!$E$2:$E$101,'Giao dich'!$D$2:$D$101,A46,'Giao dich'!$C$2:$C$101,"Ban")</x:f>
        <x:v>0</x:v>
      </x:c>
      <x:c r="F46" s="15" t="n">
        <x:f>C46+D46-E46</x:f>
        <x:v>0</x:v>
      </x:c>
      <x:c r="G46" s="18" t="str">
        <x:f>VLOOKUP(A46,'San pham'!$A$2:$G$51,5,FALSE)</x:f>
      </x:c>
      <x:c r="H46" s="18" t="n">
        <x:f>F46*G46</x:f>
        <x:v>0</x:v>
      </x:c>
      <x:c r="I46" s="15" t="str">
        <x:f>VLOOKUP(A46,'San pham'!$A$2:$G$51,7,FALSE)</x:f>
      </x:c>
      <x:c r="J46" s="12" t="str">
        <x:f>IF(A46="","",IF(F46&lt;=I46,"Can nhap","Du hang"))</x:f>
      </x:c>
      <x:c r="K46" s="2"/>
      <x:c r="L46" s="2"/>
      <x:c r="M46" s="2"/>
    </x:row>
    <x:row r="47" ht="22" customHeight="1">
      <x:c r="A47" s="12"/>
      <x:c r="B47" s="12"/>
      <x:c r="C47" s="15" t="str">
        <x:f>VLOOKUP(A47,'San pham'!$A$2:$G$51,4,FALSE)</x:f>
      </x:c>
      <x:c r="D47" s="15" t="n">
        <x:f>SUMIFS('Giao dich'!$E$2:$E$101,'Giao dich'!$D$2:$D$101,A47,'Giao dich'!$C$2:$C$101,"Nhap")</x:f>
        <x:v>0</x:v>
      </x:c>
      <x:c r="E47" s="15" t="n">
        <x:f>SUMIFS('Giao dich'!$E$2:$E$101,'Giao dich'!$D$2:$D$101,A47,'Giao dich'!$C$2:$C$101,"Ban")</x:f>
        <x:v>0</x:v>
      </x:c>
      <x:c r="F47" s="15" t="n">
        <x:f>C47+D47-E47</x:f>
        <x:v>0</x:v>
      </x:c>
      <x:c r="G47" s="18" t="str">
        <x:f>VLOOKUP(A47,'San pham'!$A$2:$G$51,5,FALSE)</x:f>
      </x:c>
      <x:c r="H47" s="18" t="n">
        <x:f>F47*G47</x:f>
        <x:v>0</x:v>
      </x:c>
      <x:c r="I47" s="15" t="str">
        <x:f>VLOOKUP(A47,'San pham'!$A$2:$G$51,7,FALSE)</x:f>
      </x:c>
      <x:c r="J47" s="12" t="str">
        <x:f>IF(A47="","",IF(F47&lt;=I47,"Can nhap","Du hang"))</x:f>
      </x:c>
      <x:c r="K47" s="2"/>
      <x:c r="L47" s="2"/>
      <x:c r="M47" s="2"/>
    </x:row>
    <x:row r="48" ht="22" customHeight="1">
      <x:c r="A48" s="12"/>
      <x:c r="B48" s="12"/>
      <x:c r="C48" s="15" t="str">
        <x:f>VLOOKUP(A48,'San pham'!$A$2:$G$51,4,FALSE)</x:f>
      </x:c>
      <x:c r="D48" s="15" t="n">
        <x:f>SUMIFS('Giao dich'!$E$2:$E$101,'Giao dich'!$D$2:$D$101,A48,'Giao dich'!$C$2:$C$101,"Nhap")</x:f>
        <x:v>0</x:v>
      </x:c>
      <x:c r="E48" s="15" t="n">
        <x:f>SUMIFS('Giao dich'!$E$2:$E$101,'Giao dich'!$D$2:$D$101,A48,'Giao dich'!$C$2:$C$101,"Ban")</x:f>
        <x:v>0</x:v>
      </x:c>
      <x:c r="F48" s="15" t="n">
        <x:f>C48+D48-E48</x:f>
        <x:v>0</x:v>
      </x:c>
      <x:c r="G48" s="18" t="str">
        <x:f>VLOOKUP(A48,'San pham'!$A$2:$G$51,5,FALSE)</x:f>
      </x:c>
      <x:c r="H48" s="18" t="n">
        <x:f>F48*G48</x:f>
        <x:v>0</x:v>
      </x:c>
      <x:c r="I48" s="15" t="str">
        <x:f>VLOOKUP(A48,'San pham'!$A$2:$G$51,7,FALSE)</x:f>
      </x:c>
      <x:c r="J48" s="12" t="str">
        <x:f>IF(A48="","",IF(F48&lt;=I48,"Can nhap","Du hang"))</x:f>
      </x:c>
      <x:c r="K48" s="2"/>
      <x:c r="L48" s="2"/>
      <x:c r="M48" s="2"/>
    </x:row>
    <x:row r="49" ht="22" customHeight="1">
      <x:c r="A49" s="12"/>
      <x:c r="B49" s="12"/>
      <x:c r="C49" s="15" t="str">
        <x:f>VLOOKUP(A49,'San pham'!$A$2:$G$51,4,FALSE)</x:f>
      </x:c>
      <x:c r="D49" s="15" t="n">
        <x:f>SUMIFS('Giao dich'!$E$2:$E$101,'Giao dich'!$D$2:$D$101,A49,'Giao dich'!$C$2:$C$101,"Nhap")</x:f>
        <x:v>0</x:v>
      </x:c>
      <x:c r="E49" s="15" t="n">
        <x:f>SUMIFS('Giao dich'!$E$2:$E$101,'Giao dich'!$D$2:$D$101,A49,'Giao dich'!$C$2:$C$101,"Ban")</x:f>
        <x:v>0</x:v>
      </x:c>
      <x:c r="F49" s="15" t="n">
        <x:f>C49+D49-E49</x:f>
        <x:v>0</x:v>
      </x:c>
      <x:c r="G49" s="18" t="str">
        <x:f>VLOOKUP(A49,'San pham'!$A$2:$G$51,5,FALSE)</x:f>
      </x:c>
      <x:c r="H49" s="18" t="n">
        <x:f>F49*G49</x:f>
        <x:v>0</x:v>
      </x:c>
      <x:c r="I49" s="15" t="str">
        <x:f>VLOOKUP(A49,'San pham'!$A$2:$G$51,7,FALSE)</x:f>
      </x:c>
      <x:c r="J49" s="12" t="str">
        <x:f>IF(A49="","",IF(F49&lt;=I49,"Can nhap","Du hang"))</x:f>
      </x:c>
      <x:c r="K49" s="2"/>
      <x:c r="L49" s="2"/>
      <x:c r="M49" s="2"/>
    </x:row>
    <x:row r="50" ht="22" customHeight="1">
      <x:c r="A50" s="12"/>
      <x:c r="B50" s="12"/>
      <x:c r="C50" s="15" t="str">
        <x:f>VLOOKUP(A50,'San pham'!$A$2:$G$51,4,FALSE)</x:f>
      </x:c>
      <x:c r="D50" s="15" t="n">
        <x:f>SUMIFS('Giao dich'!$E$2:$E$101,'Giao dich'!$D$2:$D$101,A50,'Giao dich'!$C$2:$C$101,"Nhap")</x:f>
        <x:v>0</x:v>
      </x:c>
      <x:c r="E50" s="15" t="n">
        <x:f>SUMIFS('Giao dich'!$E$2:$E$101,'Giao dich'!$D$2:$D$101,A50,'Giao dich'!$C$2:$C$101,"Ban")</x:f>
        <x:v>0</x:v>
      </x:c>
      <x:c r="F50" s="15" t="n">
        <x:f>C50+D50-E50</x:f>
        <x:v>0</x:v>
      </x:c>
      <x:c r="G50" s="18" t="str">
        <x:f>VLOOKUP(A50,'San pham'!$A$2:$G$51,5,FALSE)</x:f>
      </x:c>
      <x:c r="H50" s="18" t="n">
        <x:f>F50*G50</x:f>
        <x:v>0</x:v>
      </x:c>
      <x:c r="I50" s="15" t="str">
        <x:f>VLOOKUP(A50,'San pham'!$A$2:$G$51,7,FALSE)</x:f>
      </x:c>
      <x:c r="J50" s="12" t="str">
        <x:f>IF(A50="","",IF(F50&lt;=I50,"Can nhap","Du hang"))</x:f>
      </x:c>
      <x:c r="K50" s="2"/>
      <x:c r="L50" s="2"/>
      <x:c r="M50" s="2"/>
    </x:row>
    <x:row r="51" ht="22" customHeight="1">
      <x:c r="A51" s="13"/>
      <x:c r="B51" s="13"/>
      <x:c r="C51" s="16" t="str">
        <x:f>VLOOKUP(A51,'San pham'!$A$2:$G$51,4,FALSE)</x:f>
      </x:c>
      <x:c r="D51" s="16" t="n">
        <x:f>SUMIFS('Giao dich'!$E$2:$E$101,'Giao dich'!$D$2:$D$101,A51,'Giao dich'!$C$2:$C$101,"Nhap")</x:f>
        <x:v>0</x:v>
      </x:c>
      <x:c r="E51" s="16" t="n">
        <x:f>SUMIFS('Giao dich'!$E$2:$E$101,'Giao dich'!$D$2:$D$101,A51,'Giao dich'!$C$2:$C$101,"Ban")</x:f>
        <x:v>0</x:v>
      </x:c>
      <x:c r="F51" s="16" t="n">
        <x:f>C51+D51-E51</x:f>
        <x:v>0</x:v>
      </x:c>
      <x:c r="G51" s="19" t="str">
        <x:f>VLOOKUP(A51,'San pham'!$A$2:$G$51,5,FALSE)</x:f>
      </x:c>
      <x:c r="H51" s="19" t="n">
        <x:f>F51*G51</x:f>
        <x:v>0</x:v>
      </x:c>
      <x:c r="I51" s="16" t="str">
        <x:f>VLOOKUP(A51,'San pham'!$A$2:$G$51,7,FALSE)</x:f>
      </x:c>
      <x:c r="J51" s="13" t="str">
        <x:f>IF(A51="","",IF(F51&lt;=I51,"Can nhap","Du hang"))</x:f>
      </x:c>
      <x:c r="K51" s="2"/>
      <x:c r="L51" s="2"/>
      <x:c r="M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</x:row>
  </x:sheetData>
  <x:conditionalFormatting sqref="J2:J51">
    <x:cfRule type="containsText" dxfId="0" priority="1" operator="containsText" text="Can nhap"/>
    <x:cfRule type="containsText" dxfId="1" priority="2" operator="containsText" text="Du hang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B7FA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7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8" customHeight="1">
      <x:c r="A1" s="8" t="str">
        <x:v>SKU</x:v>
      </x:c>
      <x:c r="B1" s="9" t="str">
        <x:v>Ten san pham</x:v>
      </x:c>
      <x:c r="C1" s="9" t="str">
        <x:v>Nhom</x:v>
      </x:c>
      <x:c r="D1" s="9" t="str">
        <x:v>Ton dau</x:v>
      </x:c>
      <x:c r="E1" s="9" t="str">
        <x:v>Gia von</x:v>
      </x:c>
      <x:c r="F1" s="9" t="str">
        <x:v>Gia ban</x:v>
      </x:c>
      <x:c r="G1" s="10" t="str">
        <x:v>Ton toi thieu</x:v>
      </x:c>
      <x:c r="H1" s="2"/>
      <x:c r="I1" s="2"/>
      <x:c r="J1" s="2"/>
      <x:c r="K1" s="2"/>
      <x:c r="L1" s="2"/>
      <x:c r="M1" s="2"/>
    </x:row>
    <x:row r="2" ht="22" customHeight="1">
      <x:c r="A2" s="11" t="str">
        <x:v>SP001</x:v>
      </x:c>
      <x:c r="B2" s="11" t="str">
        <x:v>Ca phe hat Arabica</x:v>
      </x:c>
      <x:c r="C2" s="11" t="str">
        <x:v>Do uong</x:v>
      </x:c>
      <x:c r="D2" s="14" t="n">
        <x:v>40</x:v>
      </x:c>
      <x:c r="E2" s="17" t="n">
        <x:v>120000</x:v>
      </x:c>
      <x:c r="F2" s="17" t="n">
        <x:v>180000</x:v>
      </x:c>
      <x:c r="G2" s="14" t="n">
        <x:v>50</x:v>
      </x:c>
      <x:c r="H2" s="2"/>
      <x:c r="I2" s="2"/>
      <x:c r="J2" s="2"/>
      <x:c r="K2" s="2"/>
      <x:c r="L2" s="2"/>
      <x:c r="M2" s="2"/>
    </x:row>
    <x:row r="3" ht="22" customHeight="1">
      <x:c r="A3" s="12" t="str">
        <x:v>SP002</x:v>
      </x:c>
      <x:c r="B3" s="12" t="str">
        <x:v>Tra dao</x:v>
      </x:c>
      <x:c r="C3" s="12" t="str">
        <x:v>Do uong</x:v>
      </x:c>
      <x:c r="D3" s="15" t="n">
        <x:v>30</x:v>
      </x:c>
      <x:c r="E3" s="18" t="n">
        <x:v>55000</x:v>
      </x:c>
      <x:c r="F3" s="18" t="n">
        <x:v>95000</x:v>
      </x:c>
      <x:c r="G3" s="15" t="n">
        <x:v>40</x:v>
      </x:c>
      <x:c r="H3" s="2"/>
      <x:c r="I3" s="2"/>
      <x:c r="J3" s="2"/>
      <x:c r="K3" s="2"/>
      <x:c r="L3" s="2"/>
      <x:c r="M3" s="2"/>
    </x:row>
    <x:row r="4" ht="22" customHeight="1">
      <x:c r="A4" s="12" t="str">
        <x:v>SP003</x:v>
      </x:c>
      <x:c r="B4" s="12" t="str">
        <x:v>Ly giay 500 ml</x:v>
      </x:c>
      <x:c r="C4" s="12" t="str">
        <x:v>Vat tu</x:v>
      </x:c>
      <x:c r="D4" s="15" t="n">
        <x:v>100</x:v>
      </x:c>
      <x:c r="E4" s="18" t="n">
        <x:v>1200</x:v>
      </x:c>
      <x:c r="F4" s="18" t="n">
        <x:v>2500</x:v>
      </x:c>
      <x:c r="G4" s="15" t="n">
        <x:v>100</x:v>
      </x:c>
      <x:c r="H4" s="2"/>
      <x:c r="I4" s="2"/>
      <x:c r="J4" s="2"/>
      <x:c r="K4" s="2"/>
      <x:c r="L4" s="2"/>
      <x:c r="M4" s="2"/>
    </x:row>
    <x:row r="5" ht="22" customHeight="1">
      <x:c r="A5" s="12" t="str">
        <x:v>SP004</x:v>
      </x:c>
      <x:c r="B5" s="12" t="str">
        <x:v>Siro dao</x:v>
      </x:c>
      <x:c r="C5" s="12" t="str">
        <x:v>Nguyen lieu</x:v>
      </x:c>
      <x:c r="D5" s="15" t="n">
        <x:v>12</x:v>
      </x:c>
      <x:c r="E5" s="18" t="n">
        <x:v>85000</x:v>
      </x:c>
      <x:c r="F5" s="18" t="n">
        <x:v>130000</x:v>
      </x:c>
      <x:c r="G5" s="15" t="n">
        <x:v>10</x:v>
      </x:c>
      <x:c r="H5" s="2"/>
      <x:c r="I5" s="2"/>
      <x:c r="J5" s="2"/>
      <x:c r="K5" s="2"/>
      <x:c r="L5" s="2"/>
      <x:c r="M5" s="2"/>
    </x:row>
    <x:row r="6" ht="22" customHeight="1">
      <x:c r="A6" s="12" t="str">
        <x:v>SP005</x:v>
      </x:c>
      <x:c r="B6" s="12" t="str">
        <x:v>Sua tuoi 1 l</x:v>
      </x:c>
      <x:c r="C6" s="12" t="str">
        <x:v>Nguyen lieu</x:v>
      </x:c>
      <x:c r="D6" s="15" t="n">
        <x:v>20</x:v>
      </x:c>
      <x:c r="E6" s="18" t="n">
        <x:v>32000</x:v>
      </x:c>
      <x:c r="F6" s="18" t="n">
        <x:v>45000</x:v>
      </x:c>
      <x:c r="G6" s="15" t="n">
        <x:v>12</x:v>
      </x:c>
      <x:c r="H6" s="2"/>
      <x:c r="I6" s="2"/>
      <x:c r="J6" s="2"/>
      <x:c r="K6" s="2"/>
      <x:c r="L6" s="2"/>
      <x:c r="M6" s="2"/>
    </x:row>
    <x:row r="7" ht="22" customHeight="1">
      <x:c r="A7" s="12"/>
      <x:c r="B7" s="12"/>
      <x:c r="C7" s="12"/>
      <x:c r="D7" s="15"/>
      <x:c r="E7" s="18"/>
      <x:c r="F7" s="18"/>
      <x:c r="G7" s="15"/>
      <x:c r="H7" s="2"/>
      <x:c r="I7" s="2"/>
      <x:c r="J7" s="2"/>
      <x:c r="K7" s="2"/>
      <x:c r="L7" s="2"/>
      <x:c r="M7" s="2"/>
    </x:row>
    <x:row r="8" ht="22" customHeight="1">
      <x:c r="A8" s="12"/>
      <x:c r="B8" s="12"/>
      <x:c r="C8" s="12"/>
      <x:c r="D8" s="15"/>
      <x:c r="E8" s="18"/>
      <x:c r="F8" s="18"/>
      <x:c r="G8" s="15"/>
      <x:c r="H8" s="2"/>
      <x:c r="I8" s="2"/>
      <x:c r="J8" s="2"/>
      <x:c r="K8" s="2"/>
      <x:c r="L8" s="2"/>
      <x:c r="M8" s="2"/>
    </x:row>
    <x:row r="9" ht="22" customHeight="1">
      <x:c r="A9" s="12"/>
      <x:c r="B9" s="12"/>
      <x:c r="C9" s="12"/>
      <x:c r="D9" s="15"/>
      <x:c r="E9" s="18"/>
      <x:c r="F9" s="18"/>
      <x:c r="G9" s="15"/>
      <x:c r="H9" s="2"/>
      <x:c r="I9" s="2"/>
      <x:c r="J9" s="2"/>
      <x:c r="K9" s="2"/>
      <x:c r="L9" s="2"/>
      <x:c r="M9" s="2"/>
    </x:row>
    <x:row r="10" ht="22" customHeight="1">
      <x:c r="A10" s="12"/>
      <x:c r="B10" s="12"/>
      <x:c r="C10" s="12"/>
      <x:c r="D10" s="15"/>
      <x:c r="E10" s="18"/>
      <x:c r="F10" s="18"/>
      <x:c r="G10" s="15"/>
      <x:c r="H10" s="2"/>
      <x:c r="I10" s="2"/>
      <x:c r="J10" s="2"/>
      <x:c r="K10" s="2"/>
      <x:c r="L10" s="2"/>
      <x:c r="M10" s="2"/>
    </x:row>
    <x:row r="11" ht="22" customHeight="1">
      <x:c r="A11" s="12"/>
      <x:c r="B11" s="12"/>
      <x:c r="C11" s="12"/>
      <x:c r="D11" s="15"/>
      <x:c r="E11" s="18"/>
      <x:c r="F11" s="18"/>
      <x:c r="G11" s="15"/>
      <x:c r="H11" s="2"/>
      <x:c r="I11" s="2"/>
      <x:c r="J11" s="2"/>
      <x:c r="K11" s="2"/>
      <x:c r="L11" s="2"/>
      <x:c r="M11" s="2"/>
    </x:row>
    <x:row r="12" ht="22" customHeight="1">
      <x:c r="A12" s="12"/>
      <x:c r="B12" s="12"/>
      <x:c r="C12" s="12"/>
      <x:c r="D12" s="15"/>
      <x:c r="E12" s="18"/>
      <x:c r="F12" s="18"/>
      <x:c r="G12" s="15"/>
      <x:c r="H12" s="2"/>
      <x:c r="I12" s="2"/>
      <x:c r="J12" s="2"/>
      <x:c r="K12" s="2"/>
      <x:c r="L12" s="2"/>
      <x:c r="M12" s="2"/>
    </x:row>
    <x:row r="13" ht="22" customHeight="1">
      <x:c r="A13" s="12"/>
      <x:c r="B13" s="12"/>
      <x:c r="C13" s="12"/>
      <x:c r="D13" s="15"/>
      <x:c r="E13" s="18"/>
      <x:c r="F13" s="18"/>
      <x:c r="G13" s="15"/>
      <x:c r="H13" s="2"/>
      <x:c r="I13" s="2"/>
      <x:c r="J13" s="2"/>
      <x:c r="K13" s="2"/>
      <x:c r="L13" s="2"/>
      <x:c r="M13" s="2"/>
    </x:row>
    <x:row r="14" ht="22" customHeight="1">
      <x:c r="A14" s="12"/>
      <x:c r="B14" s="12"/>
      <x:c r="C14" s="12"/>
      <x:c r="D14" s="15"/>
      <x:c r="E14" s="18"/>
      <x:c r="F14" s="18"/>
      <x:c r="G14" s="15"/>
      <x:c r="H14" s="2"/>
      <x:c r="I14" s="2"/>
      <x:c r="J14" s="2"/>
      <x:c r="K14" s="2"/>
      <x:c r="L14" s="2"/>
      <x:c r="M14" s="2"/>
    </x:row>
    <x:row r="15" ht="22" customHeight="1">
      <x:c r="A15" s="12"/>
      <x:c r="B15" s="12"/>
      <x:c r="C15" s="12"/>
      <x:c r="D15" s="15"/>
      <x:c r="E15" s="18"/>
      <x:c r="F15" s="18"/>
      <x:c r="G15" s="15"/>
      <x:c r="H15" s="2"/>
      <x:c r="I15" s="2"/>
      <x:c r="J15" s="2"/>
      <x:c r="K15" s="2"/>
      <x:c r="L15" s="2"/>
      <x:c r="M15" s="2"/>
    </x:row>
    <x:row r="16" ht="22" customHeight="1">
      <x:c r="A16" s="12"/>
      <x:c r="B16" s="12"/>
      <x:c r="C16" s="12"/>
      <x:c r="D16" s="15"/>
      <x:c r="E16" s="18"/>
      <x:c r="F16" s="18"/>
      <x:c r="G16" s="15"/>
      <x:c r="H16" s="2"/>
      <x:c r="I16" s="2"/>
      <x:c r="J16" s="2"/>
      <x:c r="K16" s="2"/>
      <x:c r="L16" s="2"/>
      <x:c r="M16" s="2"/>
    </x:row>
    <x:row r="17" ht="22" customHeight="1">
      <x:c r="A17" s="12"/>
      <x:c r="B17" s="12"/>
      <x:c r="C17" s="12"/>
      <x:c r="D17" s="15"/>
      <x:c r="E17" s="18"/>
      <x:c r="F17" s="18"/>
      <x:c r="G17" s="15"/>
      <x:c r="H17" s="2"/>
      <x:c r="I17" s="2"/>
      <x:c r="J17" s="2"/>
      <x:c r="K17" s="2"/>
      <x:c r="L17" s="2"/>
      <x:c r="M17" s="2"/>
    </x:row>
    <x:row r="18" ht="22" customHeight="1">
      <x:c r="A18" s="12"/>
      <x:c r="B18" s="12"/>
      <x:c r="C18" s="12"/>
      <x:c r="D18" s="15"/>
      <x:c r="E18" s="18"/>
      <x:c r="F18" s="18"/>
      <x:c r="G18" s="15"/>
      <x:c r="H18" s="2"/>
      <x:c r="I18" s="2"/>
      <x:c r="J18" s="2"/>
      <x:c r="K18" s="2"/>
      <x:c r="L18" s="2"/>
      <x:c r="M18" s="2"/>
    </x:row>
    <x:row r="19" ht="22" customHeight="1">
      <x:c r="A19" s="12"/>
      <x:c r="B19" s="12"/>
      <x:c r="C19" s="12"/>
      <x:c r="D19" s="15"/>
      <x:c r="E19" s="18"/>
      <x:c r="F19" s="18"/>
      <x:c r="G19" s="15"/>
      <x:c r="H19" s="2"/>
      <x:c r="I19" s="2"/>
      <x:c r="J19" s="2"/>
      <x:c r="K19" s="2"/>
      <x:c r="L19" s="2"/>
      <x:c r="M19" s="2"/>
    </x:row>
    <x:row r="20" ht="22" customHeight="1">
      <x:c r="A20" s="12"/>
      <x:c r="B20" s="12"/>
      <x:c r="C20" s="12"/>
      <x:c r="D20" s="15"/>
      <x:c r="E20" s="18"/>
      <x:c r="F20" s="18"/>
      <x:c r="G20" s="15"/>
      <x:c r="H20" s="2"/>
      <x:c r="I20" s="2"/>
      <x:c r="J20" s="2"/>
      <x:c r="K20" s="2"/>
      <x:c r="L20" s="2"/>
      <x:c r="M20" s="2"/>
    </x:row>
    <x:row r="21" ht="22" customHeight="1">
      <x:c r="A21" s="12"/>
      <x:c r="B21" s="12"/>
      <x:c r="C21" s="12"/>
      <x:c r="D21" s="15"/>
      <x:c r="E21" s="18"/>
      <x:c r="F21" s="18"/>
      <x:c r="G21" s="15"/>
      <x:c r="H21" s="2"/>
      <x:c r="I21" s="2"/>
      <x:c r="J21" s="2"/>
      <x:c r="K21" s="2"/>
      <x:c r="L21" s="2"/>
      <x:c r="M21" s="2"/>
    </x:row>
    <x:row r="22" ht="22" customHeight="1">
      <x:c r="A22" s="12"/>
      <x:c r="B22" s="12"/>
      <x:c r="C22" s="12"/>
      <x:c r="D22" s="15"/>
      <x:c r="E22" s="18"/>
      <x:c r="F22" s="18"/>
      <x:c r="G22" s="15"/>
      <x:c r="H22" s="2"/>
      <x:c r="I22" s="2"/>
      <x:c r="J22" s="2"/>
      <x:c r="K22" s="2"/>
      <x:c r="L22" s="2"/>
      <x:c r="M22" s="2"/>
    </x:row>
    <x:row r="23" ht="22" customHeight="1">
      <x:c r="A23" s="12"/>
      <x:c r="B23" s="12"/>
      <x:c r="C23" s="12"/>
      <x:c r="D23" s="15"/>
      <x:c r="E23" s="18"/>
      <x:c r="F23" s="18"/>
      <x:c r="G23" s="15"/>
      <x:c r="H23" s="2"/>
      <x:c r="I23" s="2"/>
      <x:c r="J23" s="2"/>
      <x:c r="K23" s="2"/>
      <x:c r="L23" s="2"/>
      <x:c r="M23" s="2"/>
    </x:row>
    <x:row r="24" ht="22" customHeight="1">
      <x:c r="A24" s="12"/>
      <x:c r="B24" s="12"/>
      <x:c r="C24" s="12"/>
      <x:c r="D24" s="15"/>
      <x:c r="E24" s="18"/>
      <x:c r="F24" s="18"/>
      <x:c r="G24" s="15"/>
      <x:c r="H24" s="2"/>
      <x:c r="I24" s="2"/>
      <x:c r="J24" s="2"/>
      <x:c r="K24" s="2"/>
      <x:c r="L24" s="2"/>
      <x:c r="M24" s="2"/>
    </x:row>
    <x:row r="25" ht="22" customHeight="1">
      <x:c r="A25" s="12"/>
      <x:c r="B25" s="12"/>
      <x:c r="C25" s="12"/>
      <x:c r="D25" s="15"/>
      <x:c r="E25" s="18"/>
      <x:c r="F25" s="18"/>
      <x:c r="G25" s="15"/>
      <x:c r="H25" s="2"/>
      <x:c r="I25" s="2"/>
      <x:c r="J25" s="2"/>
      <x:c r="K25" s="2"/>
      <x:c r="L25" s="2"/>
      <x:c r="M25" s="2"/>
    </x:row>
    <x:row r="26" ht="22" customHeight="1">
      <x:c r="A26" s="12"/>
      <x:c r="B26" s="12"/>
      <x:c r="C26" s="12"/>
      <x:c r="D26" s="15"/>
      <x:c r="E26" s="18"/>
      <x:c r="F26" s="18"/>
      <x:c r="G26" s="15"/>
      <x:c r="H26" s="2"/>
      <x:c r="I26" s="2"/>
      <x:c r="J26" s="2"/>
      <x:c r="K26" s="2"/>
      <x:c r="L26" s="2"/>
      <x:c r="M26" s="2"/>
    </x:row>
    <x:row r="27" ht="22" customHeight="1">
      <x:c r="A27" s="12"/>
      <x:c r="B27" s="12"/>
      <x:c r="C27" s="12"/>
      <x:c r="D27" s="15"/>
      <x:c r="E27" s="18"/>
      <x:c r="F27" s="18"/>
      <x:c r="G27" s="15"/>
      <x:c r="H27" s="2"/>
      <x:c r="I27" s="2"/>
      <x:c r="J27" s="2"/>
      <x:c r="K27" s="2"/>
      <x:c r="L27" s="2"/>
      <x:c r="M27" s="2"/>
    </x:row>
    <x:row r="28" ht="22" customHeight="1">
      <x:c r="A28" s="12"/>
      <x:c r="B28" s="12"/>
      <x:c r="C28" s="12"/>
      <x:c r="D28" s="15"/>
      <x:c r="E28" s="18"/>
      <x:c r="F28" s="18"/>
      <x:c r="G28" s="15"/>
      <x:c r="H28" s="2"/>
      <x:c r="I28" s="2"/>
      <x:c r="J28" s="2"/>
      <x:c r="K28" s="2"/>
      <x:c r="L28" s="2"/>
      <x:c r="M28" s="2"/>
    </x:row>
    <x:row r="29" ht="22" customHeight="1">
      <x:c r="A29" s="12"/>
      <x:c r="B29" s="12"/>
      <x:c r="C29" s="12"/>
      <x:c r="D29" s="15"/>
      <x:c r="E29" s="18"/>
      <x:c r="F29" s="18"/>
      <x:c r="G29" s="15"/>
      <x:c r="H29" s="2"/>
      <x:c r="I29" s="2"/>
      <x:c r="J29" s="2"/>
      <x:c r="K29" s="2"/>
      <x:c r="L29" s="2"/>
      <x:c r="M29" s="2"/>
    </x:row>
    <x:row r="30" ht="22" customHeight="1">
      <x:c r="A30" s="12"/>
      <x:c r="B30" s="12"/>
      <x:c r="C30" s="12"/>
      <x:c r="D30" s="15"/>
      <x:c r="E30" s="18"/>
      <x:c r="F30" s="18"/>
      <x:c r="G30" s="15"/>
      <x:c r="H30" s="2"/>
      <x:c r="I30" s="2"/>
      <x:c r="J30" s="2"/>
      <x:c r="K30" s="2"/>
      <x:c r="L30" s="2"/>
      <x:c r="M30" s="2"/>
    </x:row>
    <x:row r="31" ht="22" customHeight="1">
      <x:c r="A31" s="12"/>
      <x:c r="B31" s="12"/>
      <x:c r="C31" s="12"/>
      <x:c r="D31" s="15"/>
      <x:c r="E31" s="18"/>
      <x:c r="F31" s="18"/>
      <x:c r="G31" s="15"/>
      <x:c r="H31" s="2"/>
      <x:c r="I31" s="2"/>
      <x:c r="J31" s="2"/>
      <x:c r="K31" s="2"/>
      <x:c r="L31" s="2"/>
      <x:c r="M31" s="2"/>
    </x:row>
    <x:row r="32" ht="22" customHeight="1">
      <x:c r="A32" s="12"/>
      <x:c r="B32" s="12"/>
      <x:c r="C32" s="12"/>
      <x:c r="D32" s="15"/>
      <x:c r="E32" s="18"/>
      <x:c r="F32" s="18"/>
      <x:c r="G32" s="15"/>
      <x:c r="H32" s="2"/>
      <x:c r="I32" s="2"/>
      <x:c r="J32" s="2"/>
      <x:c r="K32" s="2"/>
      <x:c r="L32" s="2"/>
      <x:c r="M32" s="2"/>
    </x:row>
    <x:row r="33" ht="22" customHeight="1">
      <x:c r="A33" s="12"/>
      <x:c r="B33" s="12"/>
      <x:c r="C33" s="12"/>
      <x:c r="D33" s="15"/>
      <x:c r="E33" s="18"/>
      <x:c r="F33" s="18"/>
      <x:c r="G33" s="15"/>
      <x:c r="H33" s="2"/>
      <x:c r="I33" s="2"/>
      <x:c r="J33" s="2"/>
      <x:c r="K33" s="2"/>
      <x:c r="L33" s="2"/>
      <x:c r="M33" s="2"/>
    </x:row>
    <x:row r="34" ht="22" customHeight="1">
      <x:c r="A34" s="12"/>
      <x:c r="B34" s="12"/>
      <x:c r="C34" s="12"/>
      <x:c r="D34" s="15"/>
      <x:c r="E34" s="18"/>
      <x:c r="F34" s="18"/>
      <x:c r="G34" s="15"/>
      <x:c r="H34" s="2"/>
      <x:c r="I34" s="2"/>
      <x:c r="J34" s="2"/>
      <x:c r="K34" s="2"/>
      <x:c r="L34" s="2"/>
      <x:c r="M34" s="2"/>
    </x:row>
    <x:row r="35" ht="22" customHeight="1">
      <x:c r="A35" s="12"/>
      <x:c r="B35" s="12"/>
      <x:c r="C35" s="12"/>
      <x:c r="D35" s="15"/>
      <x:c r="E35" s="18"/>
      <x:c r="F35" s="18"/>
      <x:c r="G35" s="15"/>
      <x:c r="H35" s="2"/>
      <x:c r="I35" s="2"/>
      <x:c r="J35" s="2"/>
      <x:c r="K35" s="2"/>
      <x:c r="L35" s="2"/>
      <x:c r="M35" s="2"/>
    </x:row>
    <x:row r="36" ht="22" customHeight="1">
      <x:c r="A36" s="12"/>
      <x:c r="B36" s="12"/>
      <x:c r="C36" s="12"/>
      <x:c r="D36" s="15"/>
      <x:c r="E36" s="18"/>
      <x:c r="F36" s="18"/>
      <x:c r="G36" s="15"/>
      <x:c r="H36" s="2"/>
      <x:c r="I36" s="2"/>
      <x:c r="J36" s="2"/>
      <x:c r="K36" s="2"/>
      <x:c r="L36" s="2"/>
      <x:c r="M36" s="2"/>
    </x:row>
    <x:row r="37" ht="22" customHeight="1">
      <x:c r="A37" s="12"/>
      <x:c r="B37" s="12"/>
      <x:c r="C37" s="12"/>
      <x:c r="D37" s="15"/>
      <x:c r="E37" s="18"/>
      <x:c r="F37" s="18"/>
      <x:c r="G37" s="15"/>
      <x:c r="H37" s="2"/>
      <x:c r="I37" s="2"/>
      <x:c r="J37" s="2"/>
      <x:c r="K37" s="2"/>
      <x:c r="L37" s="2"/>
      <x:c r="M37" s="2"/>
    </x:row>
    <x:row r="38" ht="22" customHeight="1">
      <x:c r="A38" s="12"/>
      <x:c r="B38" s="12"/>
      <x:c r="C38" s="12"/>
      <x:c r="D38" s="15"/>
      <x:c r="E38" s="18"/>
      <x:c r="F38" s="18"/>
      <x:c r="G38" s="15"/>
      <x:c r="H38" s="2"/>
      <x:c r="I38" s="2"/>
      <x:c r="J38" s="2"/>
      <x:c r="K38" s="2"/>
      <x:c r="L38" s="2"/>
      <x:c r="M38" s="2"/>
    </x:row>
    <x:row r="39" ht="22" customHeight="1">
      <x:c r="A39" s="12"/>
      <x:c r="B39" s="12"/>
      <x:c r="C39" s="12"/>
      <x:c r="D39" s="15"/>
      <x:c r="E39" s="18"/>
      <x:c r="F39" s="18"/>
      <x:c r="G39" s="15"/>
      <x:c r="H39" s="2"/>
      <x:c r="I39" s="2"/>
      <x:c r="J39" s="2"/>
      <x:c r="K39" s="2"/>
      <x:c r="L39" s="2"/>
      <x:c r="M39" s="2"/>
    </x:row>
    <x:row r="40" ht="22" customHeight="1">
      <x:c r="A40" s="12"/>
      <x:c r="B40" s="12"/>
      <x:c r="C40" s="12"/>
      <x:c r="D40" s="15"/>
      <x:c r="E40" s="18"/>
      <x:c r="F40" s="18"/>
      <x:c r="G40" s="15"/>
      <x:c r="H40" s="2"/>
      <x:c r="I40" s="2"/>
      <x:c r="J40" s="2"/>
      <x:c r="K40" s="2"/>
      <x:c r="L40" s="2"/>
      <x:c r="M40" s="2"/>
    </x:row>
    <x:row r="41" ht="22" customHeight="1">
      <x:c r="A41" s="12"/>
      <x:c r="B41" s="12"/>
      <x:c r="C41" s="12"/>
      <x:c r="D41" s="15"/>
      <x:c r="E41" s="18"/>
      <x:c r="F41" s="18"/>
      <x:c r="G41" s="15"/>
      <x:c r="H41" s="2"/>
      <x:c r="I41" s="2"/>
      <x:c r="J41" s="2"/>
      <x:c r="K41" s="2"/>
      <x:c r="L41" s="2"/>
      <x:c r="M41" s="2"/>
    </x:row>
    <x:row r="42" ht="22" customHeight="1">
      <x:c r="A42" s="12"/>
      <x:c r="B42" s="12"/>
      <x:c r="C42" s="12"/>
      <x:c r="D42" s="15"/>
      <x:c r="E42" s="18"/>
      <x:c r="F42" s="18"/>
      <x:c r="G42" s="15"/>
      <x:c r="H42" s="2"/>
      <x:c r="I42" s="2"/>
      <x:c r="J42" s="2"/>
      <x:c r="K42" s="2"/>
      <x:c r="L42" s="2"/>
      <x:c r="M42" s="2"/>
    </x:row>
    <x:row r="43" ht="22" customHeight="1">
      <x:c r="A43" s="12"/>
      <x:c r="B43" s="12"/>
      <x:c r="C43" s="12"/>
      <x:c r="D43" s="15"/>
      <x:c r="E43" s="18"/>
      <x:c r="F43" s="18"/>
      <x:c r="G43" s="15"/>
      <x:c r="H43" s="2"/>
      <x:c r="I43" s="2"/>
      <x:c r="J43" s="2"/>
      <x:c r="K43" s="2"/>
      <x:c r="L43" s="2"/>
      <x:c r="M43" s="2"/>
    </x:row>
    <x:row r="44" ht="22" customHeight="1">
      <x:c r="A44" s="12"/>
      <x:c r="B44" s="12"/>
      <x:c r="C44" s="12"/>
      <x:c r="D44" s="15"/>
      <x:c r="E44" s="18"/>
      <x:c r="F44" s="18"/>
      <x:c r="G44" s="15"/>
      <x:c r="H44" s="2"/>
      <x:c r="I44" s="2"/>
      <x:c r="J44" s="2"/>
      <x:c r="K44" s="2"/>
      <x:c r="L44" s="2"/>
      <x:c r="M44" s="2"/>
    </x:row>
    <x:row r="45" ht="22" customHeight="1">
      <x:c r="A45" s="12"/>
      <x:c r="B45" s="12"/>
      <x:c r="C45" s="12"/>
      <x:c r="D45" s="15"/>
      <x:c r="E45" s="18"/>
      <x:c r="F45" s="18"/>
      <x:c r="G45" s="15"/>
      <x:c r="H45" s="2"/>
      <x:c r="I45" s="2"/>
      <x:c r="J45" s="2"/>
      <x:c r="K45" s="2"/>
      <x:c r="L45" s="2"/>
      <x:c r="M45" s="2"/>
    </x:row>
    <x:row r="46" ht="22" customHeight="1">
      <x:c r="A46" s="12"/>
      <x:c r="B46" s="12"/>
      <x:c r="C46" s="12"/>
      <x:c r="D46" s="15"/>
      <x:c r="E46" s="18"/>
      <x:c r="F46" s="18"/>
      <x:c r="G46" s="15"/>
      <x:c r="H46" s="2"/>
      <x:c r="I46" s="2"/>
      <x:c r="J46" s="2"/>
      <x:c r="K46" s="2"/>
      <x:c r="L46" s="2"/>
      <x:c r="M46" s="2"/>
    </x:row>
    <x:row r="47" ht="22" customHeight="1">
      <x:c r="A47" s="12"/>
      <x:c r="B47" s="12"/>
      <x:c r="C47" s="12"/>
      <x:c r="D47" s="15"/>
      <x:c r="E47" s="18"/>
      <x:c r="F47" s="18"/>
      <x:c r="G47" s="15"/>
      <x:c r="H47" s="2"/>
      <x:c r="I47" s="2"/>
      <x:c r="J47" s="2"/>
      <x:c r="K47" s="2"/>
      <x:c r="L47" s="2"/>
      <x:c r="M47" s="2"/>
    </x:row>
    <x:row r="48" ht="22" customHeight="1">
      <x:c r="A48" s="12"/>
      <x:c r="B48" s="12"/>
      <x:c r="C48" s="12"/>
      <x:c r="D48" s="15"/>
      <x:c r="E48" s="18"/>
      <x:c r="F48" s="18"/>
      <x:c r="G48" s="15"/>
      <x:c r="H48" s="2"/>
      <x:c r="I48" s="2"/>
      <x:c r="J48" s="2"/>
      <x:c r="K48" s="2"/>
      <x:c r="L48" s="2"/>
      <x:c r="M48" s="2"/>
    </x:row>
    <x:row r="49" ht="22" customHeight="1">
      <x:c r="A49" s="12"/>
      <x:c r="B49" s="12"/>
      <x:c r="C49" s="12"/>
      <x:c r="D49" s="15"/>
      <x:c r="E49" s="18"/>
      <x:c r="F49" s="18"/>
      <x:c r="G49" s="15"/>
      <x:c r="H49" s="2"/>
      <x:c r="I49" s="2"/>
      <x:c r="J49" s="2"/>
      <x:c r="K49" s="2"/>
      <x:c r="L49" s="2"/>
      <x:c r="M49" s="2"/>
    </x:row>
    <x:row r="50" ht="22" customHeight="1">
      <x:c r="A50" s="12"/>
      <x:c r="B50" s="12"/>
      <x:c r="C50" s="12"/>
      <x:c r="D50" s="15"/>
      <x:c r="E50" s="18"/>
      <x:c r="F50" s="18"/>
      <x:c r="G50" s="15"/>
      <x:c r="H50" s="2"/>
      <x:c r="I50" s="2"/>
      <x:c r="J50" s="2"/>
      <x:c r="K50" s="2"/>
      <x:c r="L50" s="2"/>
      <x:c r="M50" s="2"/>
    </x:row>
    <x:row r="51" ht="22" customHeight="1">
      <x:c r="A51" s="13"/>
      <x:c r="B51" s="13"/>
      <x:c r="C51" s="13"/>
      <x:c r="D51" s="16"/>
      <x:c r="E51" s="19"/>
      <x:c r="F51" s="19"/>
      <x:c r="G51" s="16"/>
      <x:c r="H51" s="2"/>
      <x:c r="I51" s="2"/>
      <x:c r="J51" s="2"/>
      <x:c r="K51" s="2"/>
      <x:c r="L51" s="2"/>
      <x:c r="M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B8642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</x:cols>
  <x:sheetData>
    <x:row r="1" ht="28" customHeight="1">
      <x:c r="A1" s="8" t="str">
        <x:v>Khach hang</x:v>
      </x:c>
      <x:c r="B1" s="9" t="str">
        <x:v>Doanh so</x:v>
      </x:c>
      <x:c r="C1" s="9" t="str">
        <x:v>Da thu</x:v>
      </x:c>
      <x:c r="D1" s="9" t="str">
        <x:v>Con no</x:v>
      </x:c>
      <x:c r="E1" s="10" t="str">
        <x:v>Trang thai</x:v>
      </x:c>
      <x:c r="F1" s="2"/>
      <x:c r="G1" s="2"/>
      <x:c r="H1" s="2"/>
      <x:c r="I1" s="2"/>
      <x:c r="J1" s="2"/>
      <x:c r="K1" s="2"/>
      <x:c r="L1" s="2"/>
      <x:c r="M1" s="2"/>
    </x:row>
    <x:row r="2" ht="22" customHeight="1">
      <x:c r="A2" s="11" t="str">
        <x:v>Quan A</x:v>
      </x:c>
      <x:c r="B2" s="17" t="n">
        <x:f>SUMIFS('Giao dich'!$I$2:$I$101,'Giao dich'!$G$2:$G$101,A2,'Giao dich'!$C$2:$C$101,"Ban")</x:f>
        <x:v>4280000</x:v>
      </x:c>
      <x:c r="C2" s="17" t="n">
        <x:f>SUMIFS('Giao dich'!$H$2:$H$101,'Giao dich'!$G$2:$G$101,A2,'Giao dich'!$C$2:$C$101,"Ban")</x:f>
        <x:v>3300000</x:v>
      </x:c>
      <x:c r="D2" s="17" t="n">
        <x:f>MAX(B2-C2,0)</x:f>
        <x:v>980000</x:v>
      </x:c>
      <x:c r="E2" s="11" t="str">
        <x:f>IF(A2="","",IF(D2=0,"Da thu du","Can thu"))</x:f>
        <x:v>Can thu</x:v>
      </x:c>
      <x:c r="F2" s="2"/>
      <x:c r="G2" s="2"/>
      <x:c r="H2" s="2"/>
      <x:c r="I2" s="2"/>
      <x:c r="J2" s="2"/>
      <x:c r="K2" s="2"/>
      <x:c r="L2" s="2"/>
      <x:c r="M2" s="2"/>
    </x:row>
    <x:row r="3" ht="22" customHeight="1">
      <x:c r="A3" s="12" t="str">
        <x:v>Quan B</x:v>
      </x:c>
      <x:c r="B3" s="18" t="n">
        <x:f>SUMIFS('Giao dich'!$I$2:$I$101,'Giao dich'!$G$2:$G$101,A3,'Giao dich'!$C$2:$C$101,"Ban")</x:f>
        <x:v>2140000</x:v>
      </x:c>
      <x:c r="C3" s="18" t="n">
        <x:f>SUMIFS('Giao dich'!$H$2:$H$101,'Giao dich'!$G$2:$G$101,A3,'Giao dich'!$C$2:$C$101,"Ban")</x:f>
        <x:v>2140000</x:v>
      </x:c>
      <x:c r="D3" s="18" t="n">
        <x:f>MAX(B3-C3,0)</x:f>
        <x:v>0</x:v>
      </x:c>
      <x:c r="E3" s="12" t="str">
        <x:f>IF(A3="","",IF(D3=0,"Da thu du","Can thu"))</x:f>
        <x:v>Da thu du</x:v>
      </x:c>
      <x:c r="F3" s="2"/>
      <x:c r="G3" s="2"/>
      <x:c r="H3" s="2"/>
      <x:c r="I3" s="2"/>
      <x:c r="J3" s="2"/>
      <x:c r="K3" s="2"/>
      <x:c r="L3" s="2"/>
      <x:c r="M3" s="2"/>
    </x:row>
    <x:row r="4" ht="22" customHeight="1">
      <x:c r="A4" s="12" t="str">
        <x:v>Quan C</x:v>
      </x:c>
      <x:c r="B4" s="18" t="n">
        <x:f>SUMIFS('Giao dich'!$I$2:$I$101,'Giao dich'!$G$2:$G$101,A4,'Giao dich'!$C$2:$C$101,"Ban")</x:f>
        <x:v>1480000</x:v>
      </x:c>
      <x:c r="C4" s="18" t="n">
        <x:f>SUMIFS('Giao dich'!$H$2:$H$101,'Giao dich'!$G$2:$G$101,A4,'Giao dich'!$C$2:$C$101,"Ban")</x:f>
        <x:v>1000000</x:v>
      </x:c>
      <x:c r="D4" s="18" t="n">
        <x:f>MAX(B4-C4,0)</x:f>
        <x:v>480000</x:v>
      </x:c>
      <x:c r="E4" s="12" t="str">
        <x:f>IF(A4="","",IF(D4=0,"Da thu du","Can thu"))</x:f>
        <x:v>Can thu</x:v>
      </x:c>
      <x:c r="F4" s="2"/>
      <x:c r="G4" s="2"/>
      <x:c r="H4" s="2"/>
      <x:c r="I4" s="2"/>
      <x:c r="J4" s="2"/>
      <x:c r="K4" s="2"/>
      <x:c r="L4" s="2"/>
      <x:c r="M4" s="2"/>
    </x:row>
    <x:row r="5" ht="22" customHeight="1">
      <x:c r="A5" s="12" t="str">
        <x:v>Khach le</x:v>
      </x:c>
      <x:c r="B5" s="18" t="n">
        <x:f>SUMIFS('Giao dich'!$I$2:$I$101,'Giao dich'!$G$2:$G$101,A5,'Giao dich'!$C$2:$C$101,"Ban")</x:f>
        <x:v>0</x:v>
      </x:c>
      <x:c r="C5" s="18" t="n">
        <x:f>SUMIFS('Giao dich'!$H$2:$H$101,'Giao dich'!$G$2:$G$101,A5,'Giao dich'!$C$2:$C$101,"Ban")</x:f>
        <x:v>0</x:v>
      </x:c>
      <x:c r="D5" s="18" t="n">
        <x:f>MAX(B5-C5,0)</x:f>
        <x:v>0</x:v>
      </x:c>
      <x:c r="E5" s="12" t="str">
        <x:f>IF(A5="","",IF(D5=0,"Da thu du","Can thu"))</x:f>
        <x:v>Da thu du</x:v>
      </x:c>
      <x:c r="F5" s="2"/>
      <x:c r="G5" s="2"/>
      <x:c r="H5" s="2"/>
      <x:c r="I5" s="2"/>
      <x:c r="J5" s="2"/>
      <x:c r="K5" s="2"/>
      <x:c r="L5" s="2"/>
      <x:c r="M5" s="2"/>
    </x:row>
    <x:row r="6" ht="22" customHeight="1">
      <x:c r="A6" s="12"/>
      <x:c r="B6" s="18" t="n">
        <x:f>SUMIFS('Giao dich'!$I$2:$I$101,'Giao dich'!$G$2:$G$101,A6,'Giao dich'!$C$2:$C$101,"Ban")</x:f>
        <x:v>0</x:v>
      </x:c>
      <x:c r="C6" s="18" t="n">
        <x:f>SUMIFS('Giao dich'!$H$2:$H$101,'Giao dich'!$G$2:$G$101,A6,'Giao dich'!$C$2:$C$101,"Ban")</x:f>
        <x:v>0</x:v>
      </x:c>
      <x:c r="D6" s="18" t="n">
        <x:f>MAX(B6-C6,0)</x:f>
        <x:v>0</x:v>
      </x:c>
      <x:c r="E6" s="12" t="str">
        <x:f>IF(A6="","",IF(D6=0,"Da thu du","Can thu"))</x:f>
      </x:c>
      <x:c r="F6" s="2"/>
      <x:c r="G6" s="2"/>
      <x:c r="H6" s="2"/>
      <x:c r="I6" s="2"/>
      <x:c r="J6" s="2"/>
      <x:c r="K6" s="2"/>
      <x:c r="L6" s="2"/>
      <x:c r="M6" s="2"/>
    </x:row>
    <x:row r="7" ht="22" customHeight="1">
      <x:c r="A7" s="12"/>
      <x:c r="B7" s="18" t="n">
        <x:f>SUMIFS('Giao dich'!$I$2:$I$101,'Giao dich'!$G$2:$G$101,A7,'Giao dich'!$C$2:$C$101,"Ban")</x:f>
        <x:v>0</x:v>
      </x:c>
      <x:c r="C7" s="18" t="n">
        <x:f>SUMIFS('Giao dich'!$H$2:$H$101,'Giao dich'!$G$2:$G$101,A7,'Giao dich'!$C$2:$C$101,"Ban")</x:f>
        <x:v>0</x:v>
      </x:c>
      <x:c r="D7" s="18" t="n">
        <x:f>MAX(B7-C7,0)</x:f>
        <x:v>0</x:v>
      </x:c>
      <x:c r="E7" s="12" t="str">
        <x:f>IF(A7="","",IF(D7=0,"Da thu du","Can thu"))</x:f>
      </x:c>
      <x:c r="F7" s="2"/>
      <x:c r="G7" s="2"/>
      <x:c r="H7" s="2"/>
      <x:c r="I7" s="2"/>
      <x:c r="J7" s="2"/>
      <x:c r="K7" s="2"/>
      <x:c r="L7" s="2"/>
      <x:c r="M7" s="2"/>
    </x:row>
    <x:row r="8" ht="22" customHeight="1">
      <x:c r="A8" s="12"/>
      <x:c r="B8" s="18" t="n">
        <x:f>SUMIFS('Giao dich'!$I$2:$I$101,'Giao dich'!$G$2:$G$101,A8,'Giao dich'!$C$2:$C$101,"Ban")</x:f>
        <x:v>0</x:v>
      </x:c>
      <x:c r="C8" s="18" t="n">
        <x:f>SUMIFS('Giao dich'!$H$2:$H$101,'Giao dich'!$G$2:$G$101,A8,'Giao dich'!$C$2:$C$101,"Ban")</x:f>
        <x:v>0</x:v>
      </x:c>
      <x:c r="D8" s="18" t="n">
        <x:f>MAX(B8-C8,0)</x:f>
        <x:v>0</x:v>
      </x:c>
      <x:c r="E8" s="12" t="str">
        <x:f>IF(A8="","",IF(D8=0,"Da thu du","Can thu"))</x:f>
      </x:c>
      <x:c r="F8" s="2"/>
      <x:c r="G8" s="2"/>
      <x:c r="H8" s="2"/>
      <x:c r="I8" s="2"/>
      <x:c r="J8" s="2"/>
      <x:c r="K8" s="2"/>
      <x:c r="L8" s="2"/>
      <x:c r="M8" s="2"/>
    </x:row>
    <x:row r="9" ht="22" customHeight="1">
      <x:c r="A9" s="12"/>
      <x:c r="B9" s="18" t="n">
        <x:f>SUMIFS('Giao dich'!$I$2:$I$101,'Giao dich'!$G$2:$G$101,A9,'Giao dich'!$C$2:$C$101,"Ban")</x:f>
        <x:v>0</x:v>
      </x:c>
      <x:c r="C9" s="18" t="n">
        <x:f>SUMIFS('Giao dich'!$H$2:$H$101,'Giao dich'!$G$2:$G$101,A9,'Giao dich'!$C$2:$C$101,"Ban")</x:f>
        <x:v>0</x:v>
      </x:c>
      <x:c r="D9" s="18" t="n">
        <x:f>MAX(B9-C9,0)</x:f>
        <x:v>0</x:v>
      </x:c>
      <x:c r="E9" s="12" t="str">
        <x:f>IF(A9="","",IF(D9=0,"Da thu du","Can thu"))</x:f>
      </x:c>
      <x:c r="F9" s="2"/>
      <x:c r="G9" s="2"/>
      <x:c r="H9" s="2"/>
      <x:c r="I9" s="2"/>
      <x:c r="J9" s="2"/>
      <x:c r="K9" s="2"/>
      <x:c r="L9" s="2"/>
      <x:c r="M9" s="2"/>
    </x:row>
    <x:row r="10" ht="22" customHeight="1">
      <x:c r="A10" s="12"/>
      <x:c r="B10" s="18" t="n">
        <x:f>SUMIFS('Giao dich'!$I$2:$I$101,'Giao dich'!$G$2:$G$101,A10,'Giao dich'!$C$2:$C$101,"Ban")</x:f>
        <x:v>0</x:v>
      </x:c>
      <x:c r="C10" s="18" t="n">
        <x:f>SUMIFS('Giao dich'!$H$2:$H$101,'Giao dich'!$G$2:$G$101,A10,'Giao dich'!$C$2:$C$101,"Ban")</x:f>
        <x:v>0</x:v>
      </x:c>
      <x:c r="D10" s="18" t="n">
        <x:f>MAX(B10-C10,0)</x:f>
        <x:v>0</x:v>
      </x:c>
      <x:c r="E10" s="12" t="str">
        <x:f>IF(A10="","",IF(D10=0,"Da thu du","Can thu"))</x:f>
      </x:c>
      <x:c r="F10" s="2"/>
      <x:c r="G10" s="2"/>
      <x:c r="H10" s="2"/>
      <x:c r="I10" s="2"/>
      <x:c r="J10" s="2"/>
      <x:c r="K10" s="2"/>
      <x:c r="L10" s="2"/>
      <x:c r="M10" s="2"/>
    </x:row>
    <x:row r="11" ht="22" customHeight="1">
      <x:c r="A11" s="12"/>
      <x:c r="B11" s="18" t="n">
        <x:f>SUMIFS('Giao dich'!$I$2:$I$101,'Giao dich'!$G$2:$G$101,A11,'Giao dich'!$C$2:$C$101,"Ban")</x:f>
        <x:v>0</x:v>
      </x:c>
      <x:c r="C11" s="18" t="n">
        <x:f>SUMIFS('Giao dich'!$H$2:$H$101,'Giao dich'!$G$2:$G$101,A11,'Giao dich'!$C$2:$C$101,"Ban")</x:f>
        <x:v>0</x:v>
      </x:c>
      <x:c r="D11" s="18" t="n">
        <x:f>MAX(B11-C11,0)</x:f>
        <x:v>0</x:v>
      </x:c>
      <x:c r="E11" s="12" t="str">
        <x:f>IF(A11="","",IF(D11=0,"Da thu du","Can thu"))</x:f>
      </x:c>
      <x:c r="F11" s="2"/>
      <x:c r="G11" s="2"/>
      <x:c r="H11" s="2"/>
      <x:c r="I11" s="2"/>
      <x:c r="J11" s="2"/>
      <x:c r="K11" s="2"/>
      <x:c r="L11" s="2"/>
      <x:c r="M11" s="2"/>
    </x:row>
    <x:row r="12" ht="22" customHeight="1">
      <x:c r="A12" s="12"/>
      <x:c r="B12" s="18" t="n">
        <x:f>SUMIFS('Giao dich'!$I$2:$I$101,'Giao dich'!$G$2:$G$101,A12,'Giao dich'!$C$2:$C$101,"Ban")</x:f>
        <x:v>0</x:v>
      </x:c>
      <x:c r="C12" s="18" t="n">
        <x:f>SUMIFS('Giao dich'!$H$2:$H$101,'Giao dich'!$G$2:$G$101,A12,'Giao dich'!$C$2:$C$101,"Ban")</x:f>
        <x:v>0</x:v>
      </x:c>
      <x:c r="D12" s="18" t="n">
        <x:f>MAX(B12-C12,0)</x:f>
        <x:v>0</x:v>
      </x:c>
      <x:c r="E12" s="12" t="str">
        <x:f>IF(A12="","",IF(D12=0,"Da thu du","Can thu"))</x:f>
      </x:c>
      <x:c r="F12" s="2"/>
      <x:c r="G12" s="2"/>
      <x:c r="H12" s="2"/>
      <x:c r="I12" s="2"/>
      <x:c r="J12" s="2"/>
      <x:c r="K12" s="2"/>
      <x:c r="L12" s="2"/>
      <x:c r="M12" s="2"/>
    </x:row>
    <x:row r="13" ht="22" customHeight="1">
      <x:c r="A13" s="12"/>
      <x:c r="B13" s="18" t="n">
        <x:f>SUMIFS('Giao dich'!$I$2:$I$101,'Giao dich'!$G$2:$G$101,A13,'Giao dich'!$C$2:$C$101,"Ban")</x:f>
        <x:v>0</x:v>
      </x:c>
      <x:c r="C13" s="18" t="n">
        <x:f>SUMIFS('Giao dich'!$H$2:$H$101,'Giao dich'!$G$2:$G$101,A13,'Giao dich'!$C$2:$C$101,"Ban")</x:f>
        <x:v>0</x:v>
      </x:c>
      <x:c r="D13" s="18" t="n">
        <x:f>MAX(B13-C13,0)</x:f>
        <x:v>0</x:v>
      </x:c>
      <x:c r="E13" s="12" t="str">
        <x:f>IF(A13="","",IF(D13=0,"Da thu du","Can thu"))</x:f>
      </x:c>
      <x:c r="F13" s="2"/>
      <x:c r="G13" s="2"/>
      <x:c r="H13" s="2"/>
      <x:c r="I13" s="2"/>
      <x:c r="J13" s="2"/>
      <x:c r="K13" s="2"/>
      <x:c r="L13" s="2"/>
      <x:c r="M13" s="2"/>
    </x:row>
    <x:row r="14" ht="22" customHeight="1">
      <x:c r="A14" s="12"/>
      <x:c r="B14" s="18" t="n">
        <x:f>SUMIFS('Giao dich'!$I$2:$I$101,'Giao dich'!$G$2:$G$101,A14,'Giao dich'!$C$2:$C$101,"Ban")</x:f>
        <x:v>0</x:v>
      </x:c>
      <x:c r="C14" s="18" t="n">
        <x:f>SUMIFS('Giao dich'!$H$2:$H$101,'Giao dich'!$G$2:$G$101,A14,'Giao dich'!$C$2:$C$101,"Ban")</x:f>
        <x:v>0</x:v>
      </x:c>
      <x:c r="D14" s="18" t="n">
        <x:f>MAX(B14-C14,0)</x:f>
        <x:v>0</x:v>
      </x:c>
      <x:c r="E14" s="12" t="str">
        <x:f>IF(A14="","",IF(D14=0,"Da thu du","Can thu"))</x:f>
      </x:c>
      <x:c r="F14" s="2"/>
      <x:c r="G14" s="2"/>
      <x:c r="H14" s="2"/>
      <x:c r="I14" s="2"/>
      <x:c r="J14" s="2"/>
      <x:c r="K14" s="2"/>
      <x:c r="L14" s="2"/>
      <x:c r="M14" s="2"/>
    </x:row>
    <x:row r="15" ht="22" customHeight="1">
      <x:c r="A15" s="12"/>
      <x:c r="B15" s="18" t="n">
        <x:f>SUMIFS('Giao dich'!$I$2:$I$101,'Giao dich'!$G$2:$G$101,A15,'Giao dich'!$C$2:$C$101,"Ban")</x:f>
        <x:v>0</x:v>
      </x:c>
      <x:c r="C15" s="18" t="n">
        <x:f>SUMIFS('Giao dich'!$H$2:$H$101,'Giao dich'!$G$2:$G$101,A15,'Giao dich'!$C$2:$C$101,"Ban")</x:f>
        <x:v>0</x:v>
      </x:c>
      <x:c r="D15" s="18" t="n">
        <x:f>MAX(B15-C15,0)</x:f>
        <x:v>0</x:v>
      </x:c>
      <x:c r="E15" s="12" t="str">
        <x:f>IF(A15="","",IF(D15=0,"Da thu du","Can thu"))</x:f>
      </x:c>
      <x:c r="F15" s="2"/>
      <x:c r="G15" s="2"/>
      <x:c r="H15" s="2"/>
      <x:c r="I15" s="2"/>
      <x:c r="J15" s="2"/>
      <x:c r="K15" s="2"/>
      <x:c r="L15" s="2"/>
      <x:c r="M15" s="2"/>
    </x:row>
    <x:row r="16" ht="22" customHeight="1">
      <x:c r="A16" s="12"/>
      <x:c r="B16" s="18" t="n">
        <x:f>SUMIFS('Giao dich'!$I$2:$I$101,'Giao dich'!$G$2:$G$101,A16,'Giao dich'!$C$2:$C$101,"Ban")</x:f>
        <x:v>0</x:v>
      </x:c>
      <x:c r="C16" s="18" t="n">
        <x:f>SUMIFS('Giao dich'!$H$2:$H$101,'Giao dich'!$G$2:$G$101,A16,'Giao dich'!$C$2:$C$101,"Ban")</x:f>
        <x:v>0</x:v>
      </x:c>
      <x:c r="D16" s="18" t="n">
        <x:f>MAX(B16-C16,0)</x:f>
        <x:v>0</x:v>
      </x:c>
      <x:c r="E16" s="12" t="str">
        <x:f>IF(A16="","",IF(D16=0,"Da thu du","Can thu"))</x:f>
      </x:c>
      <x:c r="F16" s="2"/>
      <x:c r="G16" s="2"/>
      <x:c r="H16" s="2"/>
      <x:c r="I16" s="2"/>
      <x:c r="J16" s="2"/>
      <x:c r="K16" s="2"/>
      <x:c r="L16" s="2"/>
      <x:c r="M16" s="2"/>
    </x:row>
    <x:row r="17" ht="22" customHeight="1">
      <x:c r="A17" s="12"/>
      <x:c r="B17" s="18" t="n">
        <x:f>SUMIFS('Giao dich'!$I$2:$I$101,'Giao dich'!$G$2:$G$101,A17,'Giao dich'!$C$2:$C$101,"Ban")</x:f>
        <x:v>0</x:v>
      </x:c>
      <x:c r="C17" s="18" t="n">
        <x:f>SUMIFS('Giao dich'!$H$2:$H$101,'Giao dich'!$G$2:$G$101,A17,'Giao dich'!$C$2:$C$101,"Ban")</x:f>
        <x:v>0</x:v>
      </x:c>
      <x:c r="D17" s="18" t="n">
        <x:f>MAX(B17-C17,0)</x:f>
        <x:v>0</x:v>
      </x:c>
      <x:c r="E17" s="12" t="str">
        <x:f>IF(A17="","",IF(D17=0,"Da thu du","Can thu"))</x:f>
      </x:c>
      <x:c r="F17" s="2"/>
      <x:c r="G17" s="2"/>
      <x:c r="H17" s="2"/>
      <x:c r="I17" s="2"/>
      <x:c r="J17" s="2"/>
      <x:c r="K17" s="2"/>
      <x:c r="L17" s="2"/>
      <x:c r="M17" s="2"/>
    </x:row>
    <x:row r="18" ht="22" customHeight="1">
      <x:c r="A18" s="12"/>
      <x:c r="B18" s="18" t="n">
        <x:f>SUMIFS('Giao dich'!$I$2:$I$101,'Giao dich'!$G$2:$G$101,A18,'Giao dich'!$C$2:$C$101,"Ban")</x:f>
        <x:v>0</x:v>
      </x:c>
      <x:c r="C18" s="18" t="n">
        <x:f>SUMIFS('Giao dich'!$H$2:$H$101,'Giao dich'!$G$2:$G$101,A18,'Giao dich'!$C$2:$C$101,"Ban")</x:f>
        <x:v>0</x:v>
      </x:c>
      <x:c r="D18" s="18" t="n">
        <x:f>MAX(B18-C18,0)</x:f>
        <x:v>0</x:v>
      </x:c>
      <x:c r="E18" s="12" t="str">
        <x:f>IF(A18="","",IF(D18=0,"Da thu du","Can thu"))</x:f>
      </x:c>
      <x:c r="F18" s="2"/>
      <x:c r="G18" s="2"/>
      <x:c r="H18" s="2"/>
      <x:c r="I18" s="2"/>
      <x:c r="J18" s="2"/>
      <x:c r="K18" s="2"/>
      <x:c r="L18" s="2"/>
      <x:c r="M18" s="2"/>
    </x:row>
    <x:row r="19" ht="22" customHeight="1">
      <x:c r="A19" s="12"/>
      <x:c r="B19" s="18" t="n">
        <x:f>SUMIFS('Giao dich'!$I$2:$I$101,'Giao dich'!$G$2:$G$101,A19,'Giao dich'!$C$2:$C$101,"Ban")</x:f>
        <x:v>0</x:v>
      </x:c>
      <x:c r="C19" s="18" t="n">
        <x:f>SUMIFS('Giao dich'!$H$2:$H$101,'Giao dich'!$G$2:$G$101,A19,'Giao dich'!$C$2:$C$101,"Ban")</x:f>
        <x:v>0</x:v>
      </x:c>
      <x:c r="D19" s="18" t="n">
        <x:f>MAX(B19-C19,0)</x:f>
        <x:v>0</x:v>
      </x:c>
      <x:c r="E19" s="12" t="str">
        <x:f>IF(A19="","",IF(D19=0,"Da thu du","Can thu"))</x:f>
      </x:c>
      <x:c r="F19" s="2"/>
      <x:c r="G19" s="2"/>
      <x:c r="H19" s="2"/>
      <x:c r="I19" s="2"/>
      <x:c r="J19" s="2"/>
      <x:c r="K19" s="2"/>
      <x:c r="L19" s="2"/>
      <x:c r="M19" s="2"/>
    </x:row>
    <x:row r="20" ht="22" customHeight="1">
      <x:c r="A20" s="12"/>
      <x:c r="B20" s="18" t="n">
        <x:f>SUMIFS('Giao dich'!$I$2:$I$101,'Giao dich'!$G$2:$G$101,A20,'Giao dich'!$C$2:$C$101,"Ban")</x:f>
        <x:v>0</x:v>
      </x:c>
      <x:c r="C20" s="18" t="n">
        <x:f>SUMIFS('Giao dich'!$H$2:$H$101,'Giao dich'!$G$2:$G$101,A20,'Giao dich'!$C$2:$C$101,"Ban")</x:f>
        <x:v>0</x:v>
      </x:c>
      <x:c r="D20" s="18" t="n">
        <x:f>MAX(B20-C20,0)</x:f>
        <x:v>0</x:v>
      </x:c>
      <x:c r="E20" s="12" t="str">
        <x:f>IF(A20="","",IF(D20=0,"Da thu du","Can thu"))</x:f>
      </x:c>
      <x:c r="F20" s="2"/>
      <x:c r="G20" s="2"/>
      <x:c r="H20" s="2"/>
      <x:c r="I20" s="2"/>
      <x:c r="J20" s="2"/>
      <x:c r="K20" s="2"/>
      <x:c r="L20" s="2"/>
      <x:c r="M20" s="2"/>
    </x:row>
    <x:row r="21" ht="22" customHeight="1">
      <x:c r="A21" s="12"/>
      <x:c r="B21" s="18" t="n">
        <x:f>SUMIFS('Giao dich'!$I$2:$I$101,'Giao dich'!$G$2:$G$101,A21,'Giao dich'!$C$2:$C$101,"Ban")</x:f>
        <x:v>0</x:v>
      </x:c>
      <x:c r="C21" s="18" t="n">
        <x:f>SUMIFS('Giao dich'!$H$2:$H$101,'Giao dich'!$G$2:$G$101,A21,'Giao dich'!$C$2:$C$101,"Ban")</x:f>
        <x:v>0</x:v>
      </x:c>
      <x:c r="D21" s="18" t="n">
        <x:f>MAX(B21-C21,0)</x:f>
        <x:v>0</x:v>
      </x:c>
      <x:c r="E21" s="12" t="str">
        <x:f>IF(A21="","",IF(D21=0,"Da thu du","Can thu"))</x:f>
      </x:c>
      <x:c r="F21" s="2"/>
      <x:c r="G21" s="2"/>
      <x:c r="H21" s="2"/>
      <x:c r="I21" s="2"/>
      <x:c r="J21" s="2"/>
      <x:c r="K21" s="2"/>
      <x:c r="L21" s="2"/>
      <x:c r="M21" s="2"/>
    </x:row>
    <x:row r="22" ht="22" customHeight="1">
      <x:c r="A22" s="12"/>
      <x:c r="B22" s="18" t="n">
        <x:f>SUMIFS('Giao dich'!$I$2:$I$101,'Giao dich'!$G$2:$G$101,A22,'Giao dich'!$C$2:$C$101,"Ban")</x:f>
        <x:v>0</x:v>
      </x:c>
      <x:c r="C22" s="18" t="n">
        <x:f>SUMIFS('Giao dich'!$H$2:$H$101,'Giao dich'!$G$2:$G$101,A22,'Giao dich'!$C$2:$C$101,"Ban")</x:f>
        <x:v>0</x:v>
      </x:c>
      <x:c r="D22" s="18" t="n">
        <x:f>MAX(B22-C22,0)</x:f>
        <x:v>0</x:v>
      </x:c>
      <x:c r="E22" s="12" t="str">
        <x:f>IF(A22="","",IF(D22=0,"Da thu du","Can thu"))</x:f>
      </x:c>
      <x:c r="F22" s="2"/>
      <x:c r="G22" s="2"/>
      <x:c r="H22" s="2"/>
      <x:c r="I22" s="2"/>
      <x:c r="J22" s="2"/>
      <x:c r="K22" s="2"/>
      <x:c r="L22" s="2"/>
      <x:c r="M22" s="2"/>
    </x:row>
    <x:row r="23" ht="22" customHeight="1">
      <x:c r="A23" s="12"/>
      <x:c r="B23" s="18" t="n">
        <x:f>SUMIFS('Giao dich'!$I$2:$I$101,'Giao dich'!$G$2:$G$101,A23,'Giao dich'!$C$2:$C$101,"Ban")</x:f>
        <x:v>0</x:v>
      </x:c>
      <x:c r="C23" s="18" t="n">
        <x:f>SUMIFS('Giao dich'!$H$2:$H$101,'Giao dich'!$G$2:$G$101,A23,'Giao dich'!$C$2:$C$101,"Ban")</x:f>
        <x:v>0</x:v>
      </x:c>
      <x:c r="D23" s="18" t="n">
        <x:f>MAX(B23-C23,0)</x:f>
        <x:v>0</x:v>
      </x:c>
      <x:c r="E23" s="12" t="str">
        <x:f>IF(A23="","",IF(D23=0,"Da thu du","Can thu"))</x:f>
      </x:c>
      <x:c r="F23" s="2"/>
      <x:c r="G23" s="2"/>
      <x:c r="H23" s="2"/>
      <x:c r="I23" s="2"/>
      <x:c r="J23" s="2"/>
      <x:c r="K23" s="2"/>
      <x:c r="L23" s="2"/>
      <x:c r="M23" s="2"/>
    </x:row>
    <x:row r="24" ht="22" customHeight="1">
      <x:c r="A24" s="12"/>
      <x:c r="B24" s="18" t="n">
        <x:f>SUMIFS('Giao dich'!$I$2:$I$101,'Giao dich'!$G$2:$G$101,A24,'Giao dich'!$C$2:$C$101,"Ban")</x:f>
        <x:v>0</x:v>
      </x:c>
      <x:c r="C24" s="18" t="n">
        <x:f>SUMIFS('Giao dich'!$H$2:$H$101,'Giao dich'!$G$2:$G$101,A24,'Giao dich'!$C$2:$C$101,"Ban")</x:f>
        <x:v>0</x:v>
      </x:c>
      <x:c r="D24" s="18" t="n">
        <x:f>MAX(B24-C24,0)</x:f>
        <x:v>0</x:v>
      </x:c>
      <x:c r="E24" s="12" t="str">
        <x:f>IF(A24="","",IF(D24=0,"Da thu du","Can thu"))</x:f>
      </x:c>
      <x:c r="F24" s="2"/>
      <x:c r="G24" s="2"/>
      <x:c r="H24" s="2"/>
      <x:c r="I24" s="2"/>
      <x:c r="J24" s="2"/>
      <x:c r="K24" s="2"/>
      <x:c r="L24" s="2"/>
      <x:c r="M24" s="2"/>
    </x:row>
    <x:row r="25" ht="22" customHeight="1">
      <x:c r="A25" s="12"/>
      <x:c r="B25" s="18" t="n">
        <x:f>SUMIFS('Giao dich'!$I$2:$I$101,'Giao dich'!$G$2:$G$101,A25,'Giao dich'!$C$2:$C$101,"Ban")</x:f>
        <x:v>0</x:v>
      </x:c>
      <x:c r="C25" s="18" t="n">
        <x:f>SUMIFS('Giao dich'!$H$2:$H$101,'Giao dich'!$G$2:$G$101,A25,'Giao dich'!$C$2:$C$101,"Ban")</x:f>
        <x:v>0</x:v>
      </x:c>
      <x:c r="D25" s="18" t="n">
        <x:f>MAX(B25-C25,0)</x:f>
        <x:v>0</x:v>
      </x:c>
      <x:c r="E25" s="12" t="str">
        <x:f>IF(A25="","",IF(D25=0,"Da thu du","Can thu"))</x:f>
      </x:c>
      <x:c r="F25" s="2"/>
      <x:c r="G25" s="2"/>
      <x:c r="H25" s="2"/>
      <x:c r="I25" s="2"/>
      <x:c r="J25" s="2"/>
      <x:c r="K25" s="2"/>
      <x:c r="L25" s="2"/>
      <x:c r="M25" s="2"/>
    </x:row>
    <x:row r="26" ht="22" customHeight="1">
      <x:c r="A26" s="12"/>
      <x:c r="B26" s="18" t="n">
        <x:f>SUMIFS('Giao dich'!$I$2:$I$101,'Giao dich'!$G$2:$G$101,A26,'Giao dich'!$C$2:$C$101,"Ban")</x:f>
        <x:v>0</x:v>
      </x:c>
      <x:c r="C26" s="18" t="n">
        <x:f>SUMIFS('Giao dich'!$H$2:$H$101,'Giao dich'!$G$2:$G$101,A26,'Giao dich'!$C$2:$C$101,"Ban")</x:f>
        <x:v>0</x:v>
      </x:c>
      <x:c r="D26" s="18" t="n">
        <x:f>MAX(B26-C26,0)</x:f>
        <x:v>0</x:v>
      </x:c>
      <x:c r="E26" s="12" t="str">
        <x:f>IF(A26="","",IF(D26=0,"Da thu du","Can thu"))</x:f>
      </x:c>
      <x:c r="F26" s="2"/>
      <x:c r="G26" s="2"/>
      <x:c r="H26" s="2"/>
      <x:c r="I26" s="2"/>
      <x:c r="J26" s="2"/>
      <x:c r="K26" s="2"/>
      <x:c r="L26" s="2"/>
      <x:c r="M26" s="2"/>
    </x:row>
    <x:row r="27" ht="22" customHeight="1">
      <x:c r="A27" s="12"/>
      <x:c r="B27" s="18" t="n">
        <x:f>SUMIFS('Giao dich'!$I$2:$I$101,'Giao dich'!$G$2:$G$101,A27,'Giao dich'!$C$2:$C$101,"Ban")</x:f>
        <x:v>0</x:v>
      </x:c>
      <x:c r="C27" s="18" t="n">
        <x:f>SUMIFS('Giao dich'!$H$2:$H$101,'Giao dich'!$G$2:$G$101,A27,'Giao dich'!$C$2:$C$101,"Ban")</x:f>
        <x:v>0</x:v>
      </x:c>
      <x:c r="D27" s="18" t="n">
        <x:f>MAX(B27-C27,0)</x:f>
        <x:v>0</x:v>
      </x:c>
      <x:c r="E27" s="12" t="str">
        <x:f>IF(A27="","",IF(D27=0,"Da thu du","Can thu"))</x:f>
      </x:c>
      <x:c r="F27" s="2"/>
      <x:c r="G27" s="2"/>
      <x:c r="H27" s="2"/>
      <x:c r="I27" s="2"/>
      <x:c r="J27" s="2"/>
      <x:c r="K27" s="2"/>
      <x:c r="L27" s="2"/>
      <x:c r="M27" s="2"/>
    </x:row>
    <x:row r="28" ht="22" customHeight="1">
      <x:c r="A28" s="12"/>
      <x:c r="B28" s="18" t="n">
        <x:f>SUMIFS('Giao dich'!$I$2:$I$101,'Giao dich'!$G$2:$G$101,A28,'Giao dich'!$C$2:$C$101,"Ban")</x:f>
        <x:v>0</x:v>
      </x:c>
      <x:c r="C28" s="18" t="n">
        <x:f>SUMIFS('Giao dich'!$H$2:$H$101,'Giao dich'!$G$2:$G$101,A28,'Giao dich'!$C$2:$C$101,"Ban")</x:f>
        <x:v>0</x:v>
      </x:c>
      <x:c r="D28" s="18" t="n">
        <x:f>MAX(B28-C28,0)</x:f>
        <x:v>0</x:v>
      </x:c>
      <x:c r="E28" s="12" t="str">
        <x:f>IF(A28="","",IF(D28=0,"Da thu du","Can thu"))</x:f>
      </x:c>
      <x:c r="F28" s="2"/>
      <x:c r="G28" s="2"/>
      <x:c r="H28" s="2"/>
      <x:c r="I28" s="2"/>
      <x:c r="J28" s="2"/>
      <x:c r="K28" s="2"/>
      <x:c r="L28" s="2"/>
      <x:c r="M28" s="2"/>
    </x:row>
    <x:row r="29" ht="22" customHeight="1">
      <x:c r="A29" s="12"/>
      <x:c r="B29" s="18" t="n">
        <x:f>SUMIFS('Giao dich'!$I$2:$I$101,'Giao dich'!$G$2:$G$101,A29,'Giao dich'!$C$2:$C$101,"Ban")</x:f>
        <x:v>0</x:v>
      </x:c>
      <x:c r="C29" s="18" t="n">
        <x:f>SUMIFS('Giao dich'!$H$2:$H$101,'Giao dich'!$G$2:$G$101,A29,'Giao dich'!$C$2:$C$101,"Ban")</x:f>
        <x:v>0</x:v>
      </x:c>
      <x:c r="D29" s="18" t="n">
        <x:f>MAX(B29-C29,0)</x:f>
        <x:v>0</x:v>
      </x:c>
      <x:c r="E29" s="12" t="str">
        <x:f>IF(A29="","",IF(D29=0,"Da thu du","Can thu"))</x:f>
      </x:c>
      <x:c r="F29" s="2"/>
      <x:c r="G29" s="2"/>
      <x:c r="H29" s="2"/>
      <x:c r="I29" s="2"/>
      <x:c r="J29" s="2"/>
      <x:c r="K29" s="2"/>
      <x:c r="L29" s="2"/>
      <x:c r="M29" s="2"/>
    </x:row>
    <x:row r="30" ht="22" customHeight="1">
      <x:c r="A30" s="12"/>
      <x:c r="B30" s="18" t="n">
        <x:f>SUMIFS('Giao dich'!$I$2:$I$101,'Giao dich'!$G$2:$G$101,A30,'Giao dich'!$C$2:$C$101,"Ban")</x:f>
        <x:v>0</x:v>
      </x:c>
      <x:c r="C30" s="18" t="n">
        <x:f>SUMIFS('Giao dich'!$H$2:$H$101,'Giao dich'!$G$2:$G$101,A30,'Giao dich'!$C$2:$C$101,"Ban")</x:f>
        <x:v>0</x:v>
      </x:c>
      <x:c r="D30" s="18" t="n">
        <x:f>MAX(B30-C30,0)</x:f>
        <x:v>0</x:v>
      </x:c>
      <x:c r="E30" s="12" t="str">
        <x:f>IF(A30="","",IF(D30=0,"Da thu du","Can thu"))</x:f>
      </x:c>
      <x:c r="F30" s="2"/>
      <x:c r="G30" s="2"/>
      <x:c r="H30" s="2"/>
      <x:c r="I30" s="2"/>
      <x:c r="J30" s="2"/>
      <x:c r="K30" s="2"/>
      <x:c r="L30" s="2"/>
      <x:c r="M30" s="2"/>
    </x:row>
    <x:row r="31" ht="22" customHeight="1">
      <x:c r="A31" s="12"/>
      <x:c r="B31" s="18" t="n">
        <x:f>SUMIFS('Giao dich'!$I$2:$I$101,'Giao dich'!$G$2:$G$101,A31,'Giao dich'!$C$2:$C$101,"Ban")</x:f>
        <x:v>0</x:v>
      </x:c>
      <x:c r="C31" s="18" t="n">
        <x:f>SUMIFS('Giao dich'!$H$2:$H$101,'Giao dich'!$G$2:$G$101,A31,'Giao dich'!$C$2:$C$101,"Ban")</x:f>
        <x:v>0</x:v>
      </x:c>
      <x:c r="D31" s="18" t="n">
        <x:f>MAX(B31-C31,0)</x:f>
        <x:v>0</x:v>
      </x:c>
      <x:c r="E31" s="12" t="str">
        <x:f>IF(A31="","",IF(D31=0,"Da thu du","Can thu"))</x:f>
      </x:c>
      <x:c r="F31" s="2"/>
      <x:c r="G31" s="2"/>
      <x:c r="H31" s="2"/>
      <x:c r="I31" s="2"/>
      <x:c r="J31" s="2"/>
      <x:c r="K31" s="2"/>
      <x:c r="L31" s="2"/>
      <x:c r="M31" s="2"/>
    </x:row>
    <x:row r="32" ht="22" customHeight="1">
      <x:c r="A32" s="12"/>
      <x:c r="B32" s="18" t="n">
        <x:f>SUMIFS('Giao dich'!$I$2:$I$101,'Giao dich'!$G$2:$G$101,A32,'Giao dich'!$C$2:$C$101,"Ban")</x:f>
        <x:v>0</x:v>
      </x:c>
      <x:c r="C32" s="18" t="n">
        <x:f>SUMIFS('Giao dich'!$H$2:$H$101,'Giao dich'!$G$2:$G$101,A32,'Giao dich'!$C$2:$C$101,"Ban")</x:f>
        <x:v>0</x:v>
      </x:c>
      <x:c r="D32" s="18" t="n">
        <x:f>MAX(B32-C32,0)</x:f>
        <x:v>0</x:v>
      </x:c>
      <x:c r="E32" s="12" t="str">
        <x:f>IF(A32="","",IF(D32=0,"Da thu du","Can thu"))</x:f>
      </x:c>
      <x:c r="F32" s="2"/>
      <x:c r="G32" s="2"/>
      <x:c r="H32" s="2"/>
      <x:c r="I32" s="2"/>
      <x:c r="J32" s="2"/>
      <x:c r="K32" s="2"/>
      <x:c r="L32" s="2"/>
      <x:c r="M32" s="2"/>
    </x:row>
    <x:row r="33" ht="22" customHeight="1">
      <x:c r="A33" s="12"/>
      <x:c r="B33" s="18" t="n">
        <x:f>SUMIFS('Giao dich'!$I$2:$I$101,'Giao dich'!$G$2:$G$101,A33,'Giao dich'!$C$2:$C$101,"Ban")</x:f>
        <x:v>0</x:v>
      </x:c>
      <x:c r="C33" s="18" t="n">
        <x:f>SUMIFS('Giao dich'!$H$2:$H$101,'Giao dich'!$G$2:$G$101,A33,'Giao dich'!$C$2:$C$101,"Ban")</x:f>
        <x:v>0</x:v>
      </x:c>
      <x:c r="D33" s="18" t="n">
        <x:f>MAX(B33-C33,0)</x:f>
        <x:v>0</x:v>
      </x:c>
      <x:c r="E33" s="12" t="str">
        <x:f>IF(A33="","",IF(D33=0,"Da thu du","Can thu"))</x:f>
      </x:c>
      <x:c r="F33" s="2"/>
      <x:c r="G33" s="2"/>
      <x:c r="H33" s="2"/>
      <x:c r="I33" s="2"/>
      <x:c r="J33" s="2"/>
      <x:c r="K33" s="2"/>
      <x:c r="L33" s="2"/>
      <x:c r="M33" s="2"/>
    </x:row>
    <x:row r="34" ht="22" customHeight="1">
      <x:c r="A34" s="12"/>
      <x:c r="B34" s="18" t="n">
        <x:f>SUMIFS('Giao dich'!$I$2:$I$101,'Giao dich'!$G$2:$G$101,A34,'Giao dich'!$C$2:$C$101,"Ban")</x:f>
        <x:v>0</x:v>
      </x:c>
      <x:c r="C34" s="18" t="n">
        <x:f>SUMIFS('Giao dich'!$H$2:$H$101,'Giao dich'!$G$2:$G$101,A34,'Giao dich'!$C$2:$C$101,"Ban")</x:f>
        <x:v>0</x:v>
      </x:c>
      <x:c r="D34" s="18" t="n">
        <x:f>MAX(B34-C34,0)</x:f>
        <x:v>0</x:v>
      </x:c>
      <x:c r="E34" s="12" t="str">
        <x:f>IF(A34="","",IF(D34=0,"Da thu du","Can thu"))</x:f>
      </x:c>
      <x:c r="F34" s="2"/>
      <x:c r="G34" s="2"/>
      <x:c r="H34" s="2"/>
      <x:c r="I34" s="2"/>
      <x:c r="J34" s="2"/>
      <x:c r="K34" s="2"/>
      <x:c r="L34" s="2"/>
      <x:c r="M34" s="2"/>
    </x:row>
    <x:row r="35" ht="22" customHeight="1">
      <x:c r="A35" s="12"/>
      <x:c r="B35" s="18" t="n">
        <x:f>SUMIFS('Giao dich'!$I$2:$I$101,'Giao dich'!$G$2:$G$101,A35,'Giao dich'!$C$2:$C$101,"Ban")</x:f>
        <x:v>0</x:v>
      </x:c>
      <x:c r="C35" s="18" t="n">
        <x:f>SUMIFS('Giao dich'!$H$2:$H$101,'Giao dich'!$G$2:$G$101,A35,'Giao dich'!$C$2:$C$101,"Ban")</x:f>
        <x:v>0</x:v>
      </x:c>
      <x:c r="D35" s="18" t="n">
        <x:f>MAX(B35-C35,0)</x:f>
        <x:v>0</x:v>
      </x:c>
      <x:c r="E35" s="12" t="str">
        <x:f>IF(A35="","",IF(D35=0,"Da thu du","Can thu"))</x:f>
      </x:c>
      <x:c r="F35" s="2"/>
      <x:c r="G35" s="2"/>
      <x:c r="H35" s="2"/>
      <x:c r="I35" s="2"/>
      <x:c r="J35" s="2"/>
      <x:c r="K35" s="2"/>
      <x:c r="L35" s="2"/>
      <x:c r="M35" s="2"/>
    </x:row>
    <x:row r="36" ht="22" customHeight="1">
      <x:c r="A36" s="12"/>
      <x:c r="B36" s="18" t="n">
        <x:f>SUMIFS('Giao dich'!$I$2:$I$101,'Giao dich'!$G$2:$G$101,A36,'Giao dich'!$C$2:$C$101,"Ban")</x:f>
        <x:v>0</x:v>
      </x:c>
      <x:c r="C36" s="18" t="n">
        <x:f>SUMIFS('Giao dich'!$H$2:$H$101,'Giao dich'!$G$2:$G$101,A36,'Giao dich'!$C$2:$C$101,"Ban")</x:f>
        <x:v>0</x:v>
      </x:c>
      <x:c r="D36" s="18" t="n">
        <x:f>MAX(B36-C36,0)</x:f>
        <x:v>0</x:v>
      </x:c>
      <x:c r="E36" s="12" t="str">
        <x:f>IF(A36="","",IF(D36=0,"Da thu du","Can thu"))</x:f>
      </x:c>
      <x:c r="F36" s="2"/>
      <x:c r="G36" s="2"/>
      <x:c r="H36" s="2"/>
      <x:c r="I36" s="2"/>
      <x:c r="J36" s="2"/>
      <x:c r="K36" s="2"/>
      <x:c r="L36" s="2"/>
      <x:c r="M36" s="2"/>
    </x:row>
    <x:row r="37" ht="22" customHeight="1">
      <x:c r="A37" s="12"/>
      <x:c r="B37" s="18" t="n">
        <x:f>SUMIFS('Giao dich'!$I$2:$I$101,'Giao dich'!$G$2:$G$101,A37,'Giao dich'!$C$2:$C$101,"Ban")</x:f>
        <x:v>0</x:v>
      </x:c>
      <x:c r="C37" s="18" t="n">
        <x:f>SUMIFS('Giao dich'!$H$2:$H$101,'Giao dich'!$G$2:$G$101,A37,'Giao dich'!$C$2:$C$101,"Ban")</x:f>
        <x:v>0</x:v>
      </x:c>
      <x:c r="D37" s="18" t="n">
        <x:f>MAX(B37-C37,0)</x:f>
        <x:v>0</x:v>
      </x:c>
      <x:c r="E37" s="12" t="str">
        <x:f>IF(A37="","",IF(D37=0,"Da thu du","Can thu"))</x:f>
      </x:c>
      <x:c r="F37" s="2"/>
      <x:c r="G37" s="2"/>
      <x:c r="H37" s="2"/>
      <x:c r="I37" s="2"/>
      <x:c r="J37" s="2"/>
      <x:c r="K37" s="2"/>
      <x:c r="L37" s="2"/>
      <x:c r="M37" s="2"/>
    </x:row>
    <x:row r="38" ht="22" customHeight="1">
      <x:c r="A38" s="12"/>
      <x:c r="B38" s="18" t="n">
        <x:f>SUMIFS('Giao dich'!$I$2:$I$101,'Giao dich'!$G$2:$G$101,A38,'Giao dich'!$C$2:$C$101,"Ban")</x:f>
        <x:v>0</x:v>
      </x:c>
      <x:c r="C38" s="18" t="n">
        <x:f>SUMIFS('Giao dich'!$H$2:$H$101,'Giao dich'!$G$2:$G$101,A38,'Giao dich'!$C$2:$C$101,"Ban")</x:f>
        <x:v>0</x:v>
      </x:c>
      <x:c r="D38" s="18" t="n">
        <x:f>MAX(B38-C38,0)</x:f>
        <x:v>0</x:v>
      </x:c>
      <x:c r="E38" s="12" t="str">
        <x:f>IF(A38="","",IF(D38=0,"Da thu du","Can thu"))</x:f>
      </x:c>
      <x:c r="F38" s="2"/>
      <x:c r="G38" s="2"/>
      <x:c r="H38" s="2"/>
      <x:c r="I38" s="2"/>
      <x:c r="J38" s="2"/>
      <x:c r="K38" s="2"/>
      <x:c r="L38" s="2"/>
      <x:c r="M38" s="2"/>
    </x:row>
    <x:row r="39" ht="22" customHeight="1">
      <x:c r="A39" s="12"/>
      <x:c r="B39" s="18" t="n">
        <x:f>SUMIFS('Giao dich'!$I$2:$I$101,'Giao dich'!$G$2:$G$101,A39,'Giao dich'!$C$2:$C$101,"Ban")</x:f>
        <x:v>0</x:v>
      </x:c>
      <x:c r="C39" s="18" t="n">
        <x:f>SUMIFS('Giao dich'!$H$2:$H$101,'Giao dich'!$G$2:$G$101,A39,'Giao dich'!$C$2:$C$101,"Ban")</x:f>
        <x:v>0</x:v>
      </x:c>
      <x:c r="D39" s="18" t="n">
        <x:f>MAX(B39-C39,0)</x:f>
        <x:v>0</x:v>
      </x:c>
      <x:c r="E39" s="12" t="str">
        <x:f>IF(A39="","",IF(D39=0,"Da thu du","Can thu"))</x:f>
      </x:c>
      <x:c r="F39" s="2"/>
      <x:c r="G39" s="2"/>
      <x:c r="H39" s="2"/>
      <x:c r="I39" s="2"/>
      <x:c r="J39" s="2"/>
      <x:c r="K39" s="2"/>
      <x:c r="L39" s="2"/>
      <x:c r="M39" s="2"/>
    </x:row>
    <x:row r="40" ht="22" customHeight="1">
      <x:c r="A40" s="12"/>
      <x:c r="B40" s="18" t="n">
        <x:f>SUMIFS('Giao dich'!$I$2:$I$101,'Giao dich'!$G$2:$G$101,A40,'Giao dich'!$C$2:$C$101,"Ban")</x:f>
        <x:v>0</x:v>
      </x:c>
      <x:c r="C40" s="18" t="n">
        <x:f>SUMIFS('Giao dich'!$H$2:$H$101,'Giao dich'!$G$2:$G$101,A40,'Giao dich'!$C$2:$C$101,"Ban")</x:f>
        <x:v>0</x:v>
      </x:c>
      <x:c r="D40" s="18" t="n">
        <x:f>MAX(B40-C40,0)</x:f>
        <x:v>0</x:v>
      </x:c>
      <x:c r="E40" s="12" t="str">
        <x:f>IF(A40="","",IF(D40=0,"Da thu du","Can thu"))</x:f>
      </x:c>
      <x:c r="F40" s="2"/>
      <x:c r="G40" s="2"/>
      <x:c r="H40" s="2"/>
      <x:c r="I40" s="2"/>
      <x:c r="J40" s="2"/>
      <x:c r="K40" s="2"/>
      <x:c r="L40" s="2"/>
      <x:c r="M40" s="2"/>
    </x:row>
    <x:row r="41" ht="22" customHeight="1">
      <x:c r="A41" s="12"/>
      <x:c r="B41" s="18" t="n">
        <x:f>SUMIFS('Giao dich'!$I$2:$I$101,'Giao dich'!$G$2:$G$101,A41,'Giao dich'!$C$2:$C$101,"Ban")</x:f>
        <x:v>0</x:v>
      </x:c>
      <x:c r="C41" s="18" t="n">
        <x:f>SUMIFS('Giao dich'!$H$2:$H$101,'Giao dich'!$G$2:$G$101,A41,'Giao dich'!$C$2:$C$101,"Ban")</x:f>
        <x:v>0</x:v>
      </x:c>
      <x:c r="D41" s="18" t="n">
        <x:f>MAX(B41-C41,0)</x:f>
        <x:v>0</x:v>
      </x:c>
      <x:c r="E41" s="12" t="str">
        <x:f>IF(A41="","",IF(D41=0,"Da thu du","Can thu"))</x:f>
      </x:c>
      <x:c r="F41" s="2"/>
      <x:c r="G41" s="2"/>
      <x:c r="H41" s="2"/>
      <x:c r="I41" s="2"/>
      <x:c r="J41" s="2"/>
      <x:c r="K41" s="2"/>
      <x:c r="L41" s="2"/>
      <x:c r="M41" s="2"/>
    </x:row>
    <x:row r="42" ht="22" customHeight="1">
      <x:c r="A42" s="12"/>
      <x:c r="B42" s="18" t="n">
        <x:f>SUMIFS('Giao dich'!$I$2:$I$101,'Giao dich'!$G$2:$G$101,A42,'Giao dich'!$C$2:$C$101,"Ban")</x:f>
        <x:v>0</x:v>
      </x:c>
      <x:c r="C42" s="18" t="n">
        <x:f>SUMIFS('Giao dich'!$H$2:$H$101,'Giao dich'!$G$2:$G$101,A42,'Giao dich'!$C$2:$C$101,"Ban")</x:f>
        <x:v>0</x:v>
      </x:c>
      <x:c r="D42" s="18" t="n">
        <x:f>MAX(B42-C42,0)</x:f>
        <x:v>0</x:v>
      </x:c>
      <x:c r="E42" s="12" t="str">
        <x:f>IF(A42="","",IF(D42=0,"Da thu du","Can thu"))</x:f>
      </x:c>
      <x:c r="F42" s="2"/>
      <x:c r="G42" s="2"/>
      <x:c r="H42" s="2"/>
      <x:c r="I42" s="2"/>
      <x:c r="J42" s="2"/>
      <x:c r="K42" s="2"/>
      <x:c r="L42" s="2"/>
      <x:c r="M42" s="2"/>
    </x:row>
    <x:row r="43" ht="22" customHeight="1">
      <x:c r="A43" s="12"/>
      <x:c r="B43" s="18" t="n">
        <x:f>SUMIFS('Giao dich'!$I$2:$I$101,'Giao dich'!$G$2:$G$101,A43,'Giao dich'!$C$2:$C$101,"Ban")</x:f>
        <x:v>0</x:v>
      </x:c>
      <x:c r="C43" s="18" t="n">
        <x:f>SUMIFS('Giao dich'!$H$2:$H$101,'Giao dich'!$G$2:$G$101,A43,'Giao dich'!$C$2:$C$101,"Ban")</x:f>
        <x:v>0</x:v>
      </x:c>
      <x:c r="D43" s="18" t="n">
        <x:f>MAX(B43-C43,0)</x:f>
        <x:v>0</x:v>
      </x:c>
      <x:c r="E43" s="12" t="str">
        <x:f>IF(A43="","",IF(D43=0,"Da thu du","Can thu"))</x:f>
      </x:c>
      <x:c r="F43" s="2"/>
      <x:c r="G43" s="2"/>
      <x:c r="H43" s="2"/>
      <x:c r="I43" s="2"/>
      <x:c r="J43" s="2"/>
      <x:c r="K43" s="2"/>
      <x:c r="L43" s="2"/>
      <x:c r="M43" s="2"/>
    </x:row>
    <x:row r="44" ht="22" customHeight="1">
      <x:c r="A44" s="12"/>
      <x:c r="B44" s="18" t="n">
        <x:f>SUMIFS('Giao dich'!$I$2:$I$101,'Giao dich'!$G$2:$G$101,A44,'Giao dich'!$C$2:$C$101,"Ban")</x:f>
        <x:v>0</x:v>
      </x:c>
      <x:c r="C44" s="18" t="n">
        <x:f>SUMIFS('Giao dich'!$H$2:$H$101,'Giao dich'!$G$2:$G$101,A44,'Giao dich'!$C$2:$C$101,"Ban")</x:f>
        <x:v>0</x:v>
      </x:c>
      <x:c r="D44" s="18" t="n">
        <x:f>MAX(B44-C44,0)</x:f>
        <x:v>0</x:v>
      </x:c>
      <x:c r="E44" s="12" t="str">
        <x:f>IF(A44="","",IF(D44=0,"Da thu du","Can thu"))</x:f>
      </x:c>
      <x:c r="F44" s="2"/>
      <x:c r="G44" s="2"/>
      <x:c r="H44" s="2"/>
      <x:c r="I44" s="2"/>
      <x:c r="J44" s="2"/>
      <x:c r="K44" s="2"/>
      <x:c r="L44" s="2"/>
      <x:c r="M44" s="2"/>
    </x:row>
    <x:row r="45" ht="22" customHeight="1">
      <x:c r="A45" s="12"/>
      <x:c r="B45" s="18" t="n">
        <x:f>SUMIFS('Giao dich'!$I$2:$I$101,'Giao dich'!$G$2:$G$101,A45,'Giao dich'!$C$2:$C$101,"Ban")</x:f>
        <x:v>0</x:v>
      </x:c>
      <x:c r="C45" s="18" t="n">
        <x:f>SUMIFS('Giao dich'!$H$2:$H$101,'Giao dich'!$G$2:$G$101,A45,'Giao dich'!$C$2:$C$101,"Ban")</x:f>
        <x:v>0</x:v>
      </x:c>
      <x:c r="D45" s="18" t="n">
        <x:f>MAX(B45-C45,0)</x:f>
        <x:v>0</x:v>
      </x:c>
      <x:c r="E45" s="12" t="str">
        <x:f>IF(A45="","",IF(D45=0,"Da thu du","Can thu"))</x:f>
      </x:c>
      <x:c r="F45" s="2"/>
      <x:c r="G45" s="2"/>
      <x:c r="H45" s="2"/>
      <x:c r="I45" s="2"/>
      <x:c r="J45" s="2"/>
      <x:c r="K45" s="2"/>
      <x:c r="L45" s="2"/>
      <x:c r="M45" s="2"/>
    </x:row>
    <x:row r="46" ht="22" customHeight="1">
      <x:c r="A46" s="12"/>
      <x:c r="B46" s="18" t="n">
        <x:f>SUMIFS('Giao dich'!$I$2:$I$101,'Giao dich'!$G$2:$G$101,A46,'Giao dich'!$C$2:$C$101,"Ban")</x:f>
        <x:v>0</x:v>
      </x:c>
      <x:c r="C46" s="18" t="n">
        <x:f>SUMIFS('Giao dich'!$H$2:$H$101,'Giao dich'!$G$2:$G$101,A46,'Giao dich'!$C$2:$C$101,"Ban")</x:f>
        <x:v>0</x:v>
      </x:c>
      <x:c r="D46" s="18" t="n">
        <x:f>MAX(B46-C46,0)</x:f>
        <x:v>0</x:v>
      </x:c>
      <x:c r="E46" s="12" t="str">
        <x:f>IF(A46="","",IF(D46=0,"Da thu du","Can thu"))</x:f>
      </x:c>
      <x:c r="F46" s="2"/>
      <x:c r="G46" s="2"/>
      <x:c r="H46" s="2"/>
      <x:c r="I46" s="2"/>
      <x:c r="J46" s="2"/>
      <x:c r="K46" s="2"/>
      <x:c r="L46" s="2"/>
      <x:c r="M46" s="2"/>
    </x:row>
    <x:row r="47" ht="22" customHeight="1">
      <x:c r="A47" s="12"/>
      <x:c r="B47" s="18" t="n">
        <x:f>SUMIFS('Giao dich'!$I$2:$I$101,'Giao dich'!$G$2:$G$101,A47,'Giao dich'!$C$2:$C$101,"Ban")</x:f>
        <x:v>0</x:v>
      </x:c>
      <x:c r="C47" s="18" t="n">
        <x:f>SUMIFS('Giao dich'!$H$2:$H$101,'Giao dich'!$G$2:$G$101,A47,'Giao dich'!$C$2:$C$101,"Ban")</x:f>
        <x:v>0</x:v>
      </x:c>
      <x:c r="D47" s="18" t="n">
        <x:f>MAX(B47-C47,0)</x:f>
        <x:v>0</x:v>
      </x:c>
      <x:c r="E47" s="12" t="str">
        <x:f>IF(A47="","",IF(D47=0,"Da thu du","Can thu"))</x:f>
      </x:c>
      <x:c r="F47" s="2"/>
      <x:c r="G47" s="2"/>
      <x:c r="H47" s="2"/>
      <x:c r="I47" s="2"/>
      <x:c r="J47" s="2"/>
      <x:c r="K47" s="2"/>
      <x:c r="L47" s="2"/>
      <x:c r="M47" s="2"/>
    </x:row>
    <x:row r="48" ht="22" customHeight="1">
      <x:c r="A48" s="12"/>
      <x:c r="B48" s="18" t="n">
        <x:f>SUMIFS('Giao dich'!$I$2:$I$101,'Giao dich'!$G$2:$G$101,A48,'Giao dich'!$C$2:$C$101,"Ban")</x:f>
        <x:v>0</x:v>
      </x:c>
      <x:c r="C48" s="18" t="n">
        <x:f>SUMIFS('Giao dich'!$H$2:$H$101,'Giao dich'!$G$2:$G$101,A48,'Giao dich'!$C$2:$C$101,"Ban")</x:f>
        <x:v>0</x:v>
      </x:c>
      <x:c r="D48" s="18" t="n">
        <x:f>MAX(B48-C48,0)</x:f>
        <x:v>0</x:v>
      </x:c>
      <x:c r="E48" s="12" t="str">
        <x:f>IF(A48="","",IF(D48=0,"Da thu du","Can thu"))</x:f>
      </x:c>
      <x:c r="F48" s="2"/>
      <x:c r="G48" s="2"/>
      <x:c r="H48" s="2"/>
      <x:c r="I48" s="2"/>
      <x:c r="J48" s="2"/>
      <x:c r="K48" s="2"/>
      <x:c r="L48" s="2"/>
      <x:c r="M48" s="2"/>
    </x:row>
    <x:row r="49" ht="22" customHeight="1">
      <x:c r="A49" s="12"/>
      <x:c r="B49" s="18" t="n">
        <x:f>SUMIFS('Giao dich'!$I$2:$I$101,'Giao dich'!$G$2:$G$101,A49,'Giao dich'!$C$2:$C$101,"Ban")</x:f>
        <x:v>0</x:v>
      </x:c>
      <x:c r="C49" s="18" t="n">
        <x:f>SUMIFS('Giao dich'!$H$2:$H$101,'Giao dich'!$G$2:$G$101,A49,'Giao dich'!$C$2:$C$101,"Ban")</x:f>
        <x:v>0</x:v>
      </x:c>
      <x:c r="D49" s="18" t="n">
        <x:f>MAX(B49-C49,0)</x:f>
        <x:v>0</x:v>
      </x:c>
      <x:c r="E49" s="12" t="str">
        <x:f>IF(A49="","",IF(D49=0,"Da thu du","Can thu"))</x:f>
      </x:c>
      <x:c r="F49" s="2"/>
      <x:c r="G49" s="2"/>
      <x:c r="H49" s="2"/>
      <x:c r="I49" s="2"/>
      <x:c r="J49" s="2"/>
      <x:c r="K49" s="2"/>
      <x:c r="L49" s="2"/>
      <x:c r="M49" s="2"/>
    </x:row>
    <x:row r="50" ht="22" customHeight="1">
      <x:c r="A50" s="12"/>
      <x:c r="B50" s="18" t="n">
        <x:f>SUMIFS('Giao dich'!$I$2:$I$101,'Giao dich'!$G$2:$G$101,A50,'Giao dich'!$C$2:$C$101,"Ban")</x:f>
        <x:v>0</x:v>
      </x:c>
      <x:c r="C50" s="18" t="n">
        <x:f>SUMIFS('Giao dich'!$H$2:$H$101,'Giao dich'!$G$2:$G$101,A50,'Giao dich'!$C$2:$C$101,"Ban")</x:f>
        <x:v>0</x:v>
      </x:c>
      <x:c r="D50" s="18" t="n">
        <x:f>MAX(B50-C50,0)</x:f>
        <x:v>0</x:v>
      </x:c>
      <x:c r="E50" s="12" t="str">
        <x:f>IF(A50="","",IF(D50=0,"Da thu du","Can thu"))</x:f>
      </x:c>
      <x:c r="F50" s="2"/>
      <x:c r="G50" s="2"/>
      <x:c r="H50" s="2"/>
      <x:c r="I50" s="2"/>
      <x:c r="J50" s="2"/>
      <x:c r="K50" s="2"/>
      <x:c r="L50" s="2"/>
      <x:c r="M50" s="2"/>
    </x:row>
    <x:row r="51" ht="22" customHeight="1">
      <x:c r="A51" s="13"/>
      <x:c r="B51" s="19" t="n">
        <x:f>SUMIFS('Giao dich'!$I$2:$I$101,'Giao dich'!$G$2:$G$101,A51,'Giao dich'!$C$2:$C$101,"Ban")</x:f>
        <x:v>0</x:v>
      </x:c>
      <x:c r="C51" s="19" t="n">
        <x:f>SUMIFS('Giao dich'!$H$2:$H$101,'Giao dich'!$G$2:$G$101,A51,'Giao dich'!$C$2:$C$101,"Ban")</x:f>
        <x:v>0</x:v>
      </x:c>
      <x:c r="D51" s="19" t="n">
        <x:f>MAX(B51-C51,0)</x:f>
        <x:v>0</x:v>
      </x:c>
      <x:c r="E51" s="13" t="str">
        <x:f>IF(A51="","",IF(D51=0,"Da thu du","Can thu"))</x:f>
      </x:c>
      <x:c r="F51" s="2"/>
      <x:c r="G51" s="2"/>
      <x:c r="H51" s="2"/>
      <x:c r="I51" s="2"/>
      <x:c r="J51" s="2"/>
      <x:c r="K51" s="2"/>
      <x:c r="L51" s="2"/>
      <x:c r="M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</x:row>
  </x:sheetData>
  <x:conditionalFormatting sqref="E2:E51">
    <x:cfRule type="containsText" dxfId="2" priority="1" operator="containsText" text="Can thu"/>
    <x:cfRule type="containsText" dxfId="3" priority="2" operator="containsText" text="Da thu du"/>
  </x:conditionalFormatting>
  <x:pageMargins left="0.7" right="0.7" top="0.75" bottom="0.75" header="0.3" footer="0.3"/>
</x:worksheet>
</file>